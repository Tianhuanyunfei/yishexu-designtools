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thon\yishexu-designtools\backend\design\data\vfd\缸径140，轴径50\"/>
    </mc:Choice>
  </mc:AlternateContent>
  <xr:revisionPtr revIDLastSave="0" documentId="13_ncr:1_{085DCD13-65D5-4B55-9B79-AD06C3AA1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K4" i="1"/>
  <c r="L4" i="1" s="1"/>
  <c r="F4" i="1"/>
  <c r="N4" i="1" l="1"/>
</calcChain>
</file>

<file path=xl/sharedStrings.xml><?xml version="1.0" encoding="utf-8"?>
<sst xmlns="http://schemas.openxmlformats.org/spreadsheetml/2006/main" count="12" uniqueCount="12">
  <si>
    <t>VFD-</t>
    <phoneticPr fontId="1" type="noConversion"/>
  </si>
  <si>
    <t>-</t>
    <phoneticPr fontId="1" type="noConversion"/>
  </si>
  <si>
    <t>极限位移</t>
    <phoneticPr fontId="1" type="noConversion"/>
  </si>
  <si>
    <t>前吊耳设计距离</t>
    <phoneticPr fontId="1" type="noConversion"/>
  </si>
  <si>
    <t>防尘罩卡箍长</t>
    <phoneticPr fontId="1" type="noConversion"/>
  </si>
  <si>
    <t>防尘罩法盘厚</t>
    <phoneticPr fontId="1" type="noConversion"/>
  </si>
  <si>
    <t>防尘罩最长长度</t>
    <phoneticPr fontId="1" type="noConversion"/>
  </si>
  <si>
    <t>防尘罩最小长度</t>
    <phoneticPr fontId="1" type="noConversion"/>
  </si>
  <si>
    <t>前吊耳最小距离</t>
    <phoneticPr fontId="1" type="noConversion"/>
  </si>
  <si>
    <t>判断</t>
    <phoneticPr fontId="1" type="noConversion"/>
  </si>
  <si>
    <t>F</t>
    <phoneticPr fontId="1" type="noConversion"/>
  </si>
  <si>
    <t>螺栓头长度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</si>
</sst>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"/>
  <sheetViews>
    <sheetView tabSelected="1" zoomScale="130" zoomScaleNormal="130" workbookViewId="0">
      <selection activeCell="N4" sqref="N4"/>
    </sheetView>
  </sheetViews>
  <sheetFormatPr defaultRowHeight="14.25" x14ac:dyDescent="0.2"/>
  <cols>
    <col min="1" max="1" width="5.75" style="2" bestFit="1" customWidth="1"/>
    <col min="2" max="2" width="4.5" style="2" bestFit="1" customWidth="1"/>
    <col min="3" max="3" width="2.5" style="2" bestFit="1" customWidth="1"/>
    <col min="4" max="4" width="4.5" style="2" bestFit="1" customWidth="1"/>
    <col min="5" max="5" width="5.625" style="2" customWidth="1"/>
    <col min="6" max="6" width="10.625" style="2" customWidth="1"/>
    <col min="7" max="7" width="15.125" style="2" bestFit="1" customWidth="1"/>
    <col min="8" max="9" width="13" style="2" bestFit="1" customWidth="1"/>
    <col min="10" max="10" width="13" style="2" customWidth="1"/>
    <col min="11" max="13" width="15.125" style="2" bestFit="1" customWidth="1"/>
    <col min="14" max="14" width="16.375" style="2" customWidth="1"/>
    <col min="15" max="16384" width="9" style="2"/>
  </cols>
  <sheetData>
    <row r="3" spans="1:14" x14ac:dyDescent="0.2">
      <c r="A3" s="1" t="s">
        <v>0</v>
      </c>
      <c r="B3" s="1" t="s">
        <v>10</v>
      </c>
      <c r="C3" s="1" t="s">
        <v>1</v>
      </c>
      <c r="D3" s="1">
        <v>60</v>
      </c>
      <c r="F3" s="3" t="s">
        <v>2</v>
      </c>
      <c r="G3" s="4" t="s">
        <v>3</v>
      </c>
      <c r="H3" s="4" t="s">
        <v>4</v>
      </c>
      <c r="I3" s="4" t="s">
        <v>5</v>
      </c>
      <c r="J3" s="4" t="s">
        <v>11</v>
      </c>
      <c r="K3" s="3" t="s">
        <v>6</v>
      </c>
      <c r="L3" s="3" t="s">
        <v>7</v>
      </c>
      <c r="M3" s="3" t="s">
        <v>8</v>
      </c>
      <c r="N3" s="5" t="s">
        <v>9</v>
      </c>
    </row>
    <row r="4" spans="1:14" x14ac:dyDescent="0.2">
      <c r="F4" s="3">
        <f>D3*1.5</f>
        <v>90</v>
      </c>
      <c r="G4" s="4">
        <v>150</v>
      </c>
      <c r="H4" s="4">
        <v>15</v>
      </c>
      <c r="I4" s="4">
        <v>3</v>
      </c>
      <c r="J4" s="4">
        <v>10</v>
      </c>
      <c r="K4" s="3">
        <f>G4+D3*1.5</f>
        <v>240</v>
      </c>
      <c r="L4" s="3">
        <f>(K4-H4-I4)/10+H4+I4+J4</f>
        <v>50.2</v>
      </c>
      <c r="M4" s="3">
        <f>G4-D3*1.5</f>
        <v>60</v>
      </c>
      <c r="N4" s="5" t="str">
        <f>IF((M4-10) &gt; L4, "OK", "NG")</f>
        <v>NG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fei wang</cp:lastModifiedBy>
  <dcterms:created xsi:type="dcterms:W3CDTF">2015-06-05T18:19:34Z</dcterms:created>
  <dcterms:modified xsi:type="dcterms:W3CDTF">2026-09-17T00:50:03Z</dcterms:modified>
</cp:coreProperties>
</file>