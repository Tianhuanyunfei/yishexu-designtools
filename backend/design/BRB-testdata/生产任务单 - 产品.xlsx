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01-WORK\02-工作任务\1.项目任务\260205-@北京第一实验中学项目\260424-@粘滞+BRB\"/>
    </mc:Choice>
  </mc:AlternateContent>
  <xr:revisionPtr revIDLastSave="0" documentId="13_ncr:1_{A9EFC482-AB15-49B5-BF4A-103039B2187B}" xr6:coauthVersionLast="47" xr6:coauthVersionMax="47" xr10:uidLastSave="{00000000-0000-0000-0000-000000000000}"/>
  <bookViews>
    <workbookView xWindow="-105" yWindow="0" windowWidth="14610" windowHeight="15585" activeTab="3" xr2:uid="{00000000-000D-0000-FFFF-FFFF00000000}"/>
  </bookViews>
  <sheets>
    <sheet name="Sheet1" sheetId="1" r:id="rId1"/>
    <sheet name="Sheet4" sheetId="4" r:id="rId2"/>
    <sheet name="Sheet2" sheetId="5" r:id="rId3"/>
    <sheet name="Sheet3" sheetId="6" r:id="rId4"/>
  </sheets>
  <definedNames>
    <definedName name="_xlnm._FilterDatabase" localSheetId="2" hidden="1">Sheet2!$E$1:$E$30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6" l="1"/>
  <c r="H31" i="6"/>
  <c r="G31" i="6"/>
  <c r="F31" i="6"/>
  <c r="E31" i="6"/>
  <c r="I30" i="6"/>
  <c r="H30" i="6"/>
  <c r="G30" i="6"/>
  <c r="F30" i="6"/>
  <c r="E30" i="6"/>
  <c r="I29" i="6"/>
  <c r="H29" i="6"/>
  <c r="G29" i="6"/>
  <c r="F29" i="6"/>
  <c r="E29" i="6"/>
  <c r="I28" i="6"/>
  <c r="H28" i="6"/>
  <c r="G28" i="6"/>
  <c r="F28" i="6"/>
  <c r="E28" i="6"/>
  <c r="I27" i="6"/>
  <c r="H27" i="6"/>
  <c r="G27" i="6"/>
  <c r="F27" i="6"/>
  <c r="E27" i="6"/>
  <c r="I26" i="6"/>
  <c r="H26" i="6"/>
  <c r="G26" i="6"/>
  <c r="F26" i="6"/>
  <c r="E26" i="6"/>
  <c r="I25" i="6"/>
  <c r="H25" i="6"/>
  <c r="G25" i="6"/>
  <c r="F25" i="6"/>
  <c r="E25" i="6"/>
  <c r="D25" i="6" s="1"/>
  <c r="I24" i="6"/>
  <c r="H24" i="6"/>
  <c r="G24" i="6"/>
  <c r="F24" i="6"/>
  <c r="E24" i="6"/>
  <c r="D24" i="6" s="1"/>
  <c r="I23" i="6"/>
  <c r="H23" i="6"/>
  <c r="G23" i="6"/>
  <c r="F23" i="6"/>
  <c r="E23" i="6"/>
  <c r="D23" i="6" s="1"/>
  <c r="I22" i="6"/>
  <c r="H22" i="6"/>
  <c r="G22" i="6"/>
  <c r="F22" i="6"/>
  <c r="E22" i="6"/>
  <c r="I21" i="6"/>
  <c r="H21" i="6"/>
  <c r="G21" i="6"/>
  <c r="F21" i="6"/>
  <c r="E21" i="6"/>
  <c r="I20" i="6"/>
  <c r="H20" i="6"/>
  <c r="G20" i="6"/>
  <c r="F20" i="6"/>
  <c r="E20" i="6"/>
  <c r="I19" i="6"/>
  <c r="H19" i="6"/>
  <c r="G19" i="6"/>
  <c r="F19" i="6"/>
  <c r="E19" i="6"/>
  <c r="I18" i="6"/>
  <c r="H18" i="6"/>
  <c r="G18" i="6"/>
  <c r="F18" i="6"/>
  <c r="E18" i="6"/>
  <c r="I17" i="6"/>
  <c r="H17" i="6"/>
  <c r="G17" i="6"/>
  <c r="F17" i="6"/>
  <c r="E17" i="6"/>
  <c r="I16" i="6"/>
  <c r="H16" i="6"/>
  <c r="G16" i="6"/>
  <c r="F16" i="6"/>
  <c r="E16" i="6"/>
  <c r="I15" i="6"/>
  <c r="H15" i="6"/>
  <c r="G15" i="6"/>
  <c r="F15" i="6"/>
  <c r="E15" i="6"/>
  <c r="I14" i="6"/>
  <c r="H14" i="6"/>
  <c r="G14" i="6"/>
  <c r="F14" i="6"/>
  <c r="E14" i="6"/>
  <c r="I13" i="6"/>
  <c r="H13" i="6"/>
  <c r="G13" i="6"/>
  <c r="F13" i="6"/>
  <c r="E13" i="6"/>
  <c r="I12" i="6"/>
  <c r="H12" i="6"/>
  <c r="G12" i="6"/>
  <c r="F12" i="6"/>
  <c r="E12" i="6"/>
  <c r="I11" i="6"/>
  <c r="H11" i="6"/>
  <c r="G11" i="6"/>
  <c r="F11" i="6"/>
  <c r="E11" i="6"/>
  <c r="D11" i="6" s="1"/>
  <c r="I10" i="6"/>
  <c r="H10" i="6"/>
  <c r="G10" i="6"/>
  <c r="F10" i="6"/>
  <c r="E10" i="6"/>
  <c r="D10" i="6" s="1"/>
  <c r="I9" i="6"/>
  <c r="H9" i="6"/>
  <c r="G9" i="6"/>
  <c r="F9" i="6"/>
  <c r="E9" i="6"/>
  <c r="I8" i="6"/>
  <c r="H8" i="6"/>
  <c r="G8" i="6"/>
  <c r="F8" i="6"/>
  <c r="E8" i="6"/>
  <c r="D8" i="6" s="1"/>
  <c r="I7" i="6"/>
  <c r="H7" i="6"/>
  <c r="G7" i="6"/>
  <c r="F7" i="6"/>
  <c r="E7" i="6"/>
  <c r="D7" i="6" s="1"/>
  <c r="I6" i="6"/>
  <c r="H6" i="6"/>
  <c r="G6" i="6"/>
  <c r="F6" i="6"/>
  <c r="E6" i="6"/>
  <c r="D6" i="6" s="1"/>
  <c r="I5" i="6"/>
  <c r="H5" i="6"/>
  <c r="G5" i="6"/>
  <c r="F5" i="6"/>
  <c r="E5" i="6"/>
  <c r="I4" i="6"/>
  <c r="H4" i="6"/>
  <c r="G4" i="6"/>
  <c r="E4" i="6"/>
  <c r="F4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" i="5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11" i="4"/>
  <c r="D20" i="4"/>
  <c r="D23" i="4"/>
  <c r="D26" i="4"/>
  <c r="D29" i="4"/>
  <c r="D18" i="4"/>
  <c r="D21" i="4"/>
  <c r="D24" i="4"/>
  <c r="D27" i="4"/>
  <c r="D28" i="4"/>
  <c r="D30" i="4"/>
  <c r="D11" i="4"/>
  <c r="D12" i="4"/>
  <c r="D13" i="4"/>
  <c r="D14" i="4"/>
  <c r="D15" i="4"/>
  <c r="D17" i="4"/>
  <c r="D19" i="4"/>
  <c r="D22" i="4"/>
  <c r="D25" i="4"/>
  <c r="D16" i="4"/>
  <c r="D3" i="4"/>
  <c r="D4" i="4"/>
  <c r="D5" i="4"/>
  <c r="D6" i="4"/>
  <c r="D7" i="4"/>
  <c r="D8" i="4"/>
  <c r="D9" i="4"/>
  <c r="D2" i="4"/>
  <c r="D26" i="6" l="1"/>
  <c r="D18" i="6"/>
  <c r="D5" i="6"/>
  <c r="D17" i="6"/>
  <c r="D16" i="6"/>
  <c r="D14" i="6"/>
  <c r="D12" i="6"/>
  <c r="D9" i="6"/>
  <c r="D4" i="6"/>
  <c r="D29" i="6"/>
  <c r="D20" i="6"/>
  <c r="D31" i="6"/>
  <c r="D19" i="6"/>
  <c r="D13" i="6"/>
  <c r="D21" i="6"/>
  <c r="D28" i="6"/>
  <c r="D30" i="6"/>
  <c r="D22" i="6"/>
  <c r="D27" i="6"/>
  <c r="D15" i="6"/>
  <c r="J4" i="6"/>
  <c r="J5" i="6" l="1"/>
  <c r="J6" i="6" l="1"/>
  <c r="J7" i="6" l="1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</calcChain>
</file>

<file path=xl/sharedStrings.xml><?xml version="1.0" encoding="utf-8"?>
<sst xmlns="http://schemas.openxmlformats.org/spreadsheetml/2006/main" count="564" uniqueCount="74">
  <si>
    <t>项目名称</t>
  </si>
  <si>
    <t>项目编号</t>
  </si>
  <si>
    <t xml:space="preserve"> 【羿】20250240</t>
  </si>
  <si>
    <t>业务员</t>
  </si>
  <si>
    <t>刘斌</t>
  </si>
  <si>
    <t>下达日期</t>
  </si>
  <si>
    <t>2026.4.24</t>
  </si>
  <si>
    <t>技术要求</t>
  </si>
  <si>
    <t>喷涂品牌</t>
  </si>
  <si>
    <t>喷涂型号</t>
  </si>
  <si>
    <t>检测机构</t>
  </si>
  <si>
    <t>其他要求</t>
  </si>
  <si>
    <t>产品清单</t>
  </si>
  <si>
    <t>序号</t>
  </si>
  <si>
    <t>型号</t>
  </si>
  <si>
    <t>数量</t>
  </si>
  <si>
    <t>批次/计划完成时间</t>
  </si>
  <si>
    <t>BRB-5500-5500</t>
  </si>
  <si>
    <t>BRB-5500-5200</t>
  </si>
  <si>
    <t>BRB-5500-5000</t>
  </si>
  <si>
    <t>BRB-5500-4700</t>
  </si>
  <si>
    <t>BRB-5500-4600</t>
  </si>
  <si>
    <t>BRB-5500-4500</t>
  </si>
  <si>
    <t>BRB-5500-4400</t>
  </si>
  <si>
    <t>BRB-5500-4200</t>
  </si>
  <si>
    <t>BRB-4100-4200</t>
  </si>
  <si>
    <t>BRB-4100-3800</t>
  </si>
  <si>
    <t>BRB-4100-3600</t>
  </si>
  <si>
    <t>BRB-4100-3400</t>
  </si>
  <si>
    <t>BRB-4100-3100</t>
  </si>
  <si>
    <t>BRB-3100-4000</t>
  </si>
  <si>
    <t>BRB-3100-3800</t>
  </si>
  <si>
    <t>BRB-3100-3600</t>
  </si>
  <si>
    <t>BRB-3100-3400</t>
  </si>
  <si>
    <t>BRB-3100-3200</t>
  </si>
  <si>
    <t>BRB-3100-3100</t>
  </si>
  <si>
    <t>BRB-2400-5200</t>
  </si>
  <si>
    <t>BRB-2400-5000</t>
  </si>
  <si>
    <t>BRB-2400-4900</t>
  </si>
  <si>
    <t>BRB-2400-4600</t>
  </si>
  <si>
    <t>BRB-2400-4400</t>
  </si>
  <si>
    <t>BRB-2400-4200</t>
  </si>
  <si>
    <t>BRB-2400-4000</t>
  </si>
  <si>
    <t>BRB-2400-3800</t>
  </si>
  <si>
    <t>BRB-2400-3600</t>
  </si>
  <si>
    <t>预埋件、连接件生产厂家</t>
  </si>
  <si>
    <t>/</t>
  </si>
  <si>
    <t>生产要求文字说明：按生产计划排产</t>
  </si>
  <si>
    <t>流程确认</t>
  </si>
  <si>
    <t>公司合同</t>
  </si>
  <si>
    <t>×</t>
  </si>
  <si>
    <t>技术会签</t>
  </si>
  <si>
    <t>√</t>
  </si>
  <si>
    <t>工厂合同</t>
  </si>
  <si>
    <t>甲方生产确认</t>
  </si>
  <si>
    <t>付款条件</t>
  </si>
  <si>
    <t>总经理确认</t>
  </si>
  <si>
    <t>VFD-370-60</t>
    <phoneticPr fontId="4" type="noConversion"/>
  </si>
  <si>
    <t>生产任务书</t>
    <phoneticPr fontId="4" type="noConversion"/>
  </si>
  <si>
    <t>通州第一实验中学</t>
    <phoneticPr fontId="4" type="noConversion"/>
  </si>
  <si>
    <t>BRB-4100-3800</t>
    <phoneticPr fontId="4" type="noConversion"/>
  </si>
  <si>
    <t>BRB-3100-3200</t>
    <phoneticPr fontId="4" type="noConversion"/>
  </si>
  <si>
    <t>BRB-4100-3100</t>
    <phoneticPr fontId="4" type="noConversion"/>
  </si>
  <si>
    <t>BRB-4100-3600</t>
    <phoneticPr fontId="4" type="noConversion"/>
  </si>
  <si>
    <t>BRB-4100-3400</t>
    <phoneticPr fontId="4" type="noConversion"/>
  </si>
  <si>
    <t>BRB-2400-3800</t>
    <phoneticPr fontId="4" type="noConversion"/>
  </si>
  <si>
    <t>BRB-3100-3600</t>
    <phoneticPr fontId="4" type="noConversion"/>
  </si>
  <si>
    <t>BRB-2400-3600</t>
    <phoneticPr fontId="4" type="noConversion"/>
  </si>
  <si>
    <t>一楼</t>
    <phoneticPr fontId="6" type="noConversion"/>
  </si>
  <si>
    <t>二楼</t>
    <phoneticPr fontId="6" type="noConversion"/>
  </si>
  <si>
    <t>三楼</t>
    <phoneticPr fontId="6" type="noConversion"/>
  </si>
  <si>
    <t>四楼</t>
    <phoneticPr fontId="6" type="noConversion"/>
  </si>
  <si>
    <t>五楼</t>
    <phoneticPr fontId="6" type="noConversion"/>
  </si>
  <si>
    <t>通州第一实验中学分层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</si>
</sst>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rgb="FF333333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/>
    <xf numFmtId="0" fontId="0" fillId="4" borderId="0" xfId="0" applyFill="1"/>
    <xf numFmtId="0" fontId="0" fillId="4" borderId="4" xfId="0" applyFill="1" applyBorder="1"/>
    <xf numFmtId="0" fontId="0" fillId="6" borderId="4" xfId="0" applyFill="1" applyBorder="1"/>
    <xf numFmtId="0" fontId="0" fillId="7" borderId="0" xfId="0" applyFill="1"/>
    <xf numFmtId="0" fontId="0" fillId="7" borderId="4" xfId="0" applyFill="1" applyBorder="1"/>
    <xf numFmtId="0" fontId="3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activeCell="F16" sqref="F16"/>
    </sheetView>
  </sheetViews>
  <sheetFormatPr defaultColWidth="9" defaultRowHeight="14.25" x14ac:dyDescent="0.2"/>
  <cols>
    <col min="1" max="1" width="9" bestFit="1" customWidth="1"/>
    <col min="2" max="2" width="17.5" bestFit="1" customWidth="1"/>
    <col min="3" max="3" width="13" bestFit="1" customWidth="1"/>
    <col min="4" max="4" width="18" bestFit="1" customWidth="1"/>
  </cols>
  <sheetData>
    <row r="1" spans="1:4" ht="27.95" customHeight="1" x14ac:dyDescent="0.2">
      <c r="A1" s="30" t="s">
        <v>58</v>
      </c>
      <c r="B1" s="31"/>
      <c r="C1" s="31"/>
      <c r="D1" s="32"/>
    </row>
    <row r="2" spans="1:4" ht="17.45" customHeight="1" x14ac:dyDescent="0.2">
      <c r="A2" s="1" t="s">
        <v>0</v>
      </c>
      <c r="B2" s="7" t="s">
        <v>59</v>
      </c>
      <c r="C2" s="1" t="s">
        <v>1</v>
      </c>
      <c r="D2" s="1" t="s">
        <v>2</v>
      </c>
    </row>
    <row r="3" spans="1:4" ht="17.45" customHeight="1" x14ac:dyDescent="0.2">
      <c r="A3" s="1" t="s">
        <v>3</v>
      </c>
      <c r="B3" s="1" t="s">
        <v>4</v>
      </c>
      <c r="C3" s="1" t="s">
        <v>5</v>
      </c>
      <c r="D3" s="1" t="s">
        <v>6</v>
      </c>
    </row>
    <row r="4" spans="1:4" ht="17.45" customHeight="1" x14ac:dyDescent="0.2">
      <c r="A4" s="33" t="s">
        <v>7</v>
      </c>
      <c r="B4" s="34"/>
      <c r="C4" s="34"/>
      <c r="D4" s="35"/>
    </row>
    <row r="5" spans="1:4" ht="17.45" customHeight="1" x14ac:dyDescent="0.2">
      <c r="A5" s="1" t="s">
        <v>8</v>
      </c>
      <c r="B5" s="1"/>
      <c r="C5" s="1" t="s">
        <v>9</v>
      </c>
      <c r="D5" s="1"/>
    </row>
    <row r="6" spans="1:4" ht="17.45" customHeight="1" x14ac:dyDescent="0.2">
      <c r="A6" s="1" t="s">
        <v>10</v>
      </c>
      <c r="B6" s="1"/>
      <c r="C6" s="1" t="s">
        <v>11</v>
      </c>
      <c r="D6" s="1"/>
    </row>
    <row r="7" spans="1:4" ht="17.45" customHeight="1" x14ac:dyDescent="0.2">
      <c r="A7" s="33" t="s">
        <v>12</v>
      </c>
      <c r="B7" s="34"/>
      <c r="C7" s="34"/>
      <c r="D7" s="35"/>
    </row>
    <row r="8" spans="1:4" ht="17.45" customHeight="1" x14ac:dyDescent="0.2">
      <c r="A8" s="1" t="s">
        <v>13</v>
      </c>
      <c r="B8" s="1" t="s">
        <v>14</v>
      </c>
      <c r="C8" s="1" t="s">
        <v>15</v>
      </c>
      <c r="D8" s="1" t="s">
        <v>16</v>
      </c>
    </row>
    <row r="9" spans="1:4" ht="17.45" customHeight="1" x14ac:dyDescent="0.2">
      <c r="A9" s="1">
        <v>1</v>
      </c>
      <c r="B9" s="8" t="s">
        <v>57</v>
      </c>
      <c r="C9" s="8">
        <v>282</v>
      </c>
      <c r="D9" s="1"/>
    </row>
    <row r="10" spans="1:4" ht="17.45" customHeight="1" x14ac:dyDescent="0.2">
      <c r="A10" s="1">
        <v>2</v>
      </c>
      <c r="B10" s="1" t="s">
        <v>17</v>
      </c>
      <c r="C10" s="1">
        <v>4</v>
      </c>
      <c r="D10" s="1"/>
    </row>
    <row r="11" spans="1:4" ht="17.45" customHeight="1" x14ac:dyDescent="0.2">
      <c r="A11" s="1">
        <v>3</v>
      </c>
      <c r="B11" s="1" t="s">
        <v>18</v>
      </c>
      <c r="C11" s="1">
        <v>3</v>
      </c>
      <c r="D11" s="1"/>
    </row>
    <row r="12" spans="1:4" ht="17.45" customHeight="1" x14ac:dyDescent="0.2">
      <c r="A12" s="1">
        <v>4</v>
      </c>
      <c r="B12" s="1" t="s">
        <v>19</v>
      </c>
      <c r="C12" s="1">
        <v>7</v>
      </c>
      <c r="D12" s="1"/>
    </row>
    <row r="13" spans="1:4" ht="17.45" customHeight="1" x14ac:dyDescent="0.2">
      <c r="A13" s="1">
        <v>5</v>
      </c>
      <c r="B13" s="1" t="s">
        <v>20</v>
      </c>
      <c r="C13" s="1">
        <v>25</v>
      </c>
      <c r="D13" s="1"/>
    </row>
    <row r="14" spans="1:4" ht="17.45" customHeight="1" x14ac:dyDescent="0.2">
      <c r="A14" s="1">
        <v>6</v>
      </c>
      <c r="B14" s="1" t="s">
        <v>21</v>
      </c>
      <c r="C14" s="1">
        <v>4</v>
      </c>
      <c r="D14" s="1"/>
    </row>
    <row r="15" spans="1:4" ht="17.45" customHeight="1" x14ac:dyDescent="0.2">
      <c r="A15" s="1">
        <v>7</v>
      </c>
      <c r="B15" s="1" t="s">
        <v>22</v>
      </c>
      <c r="C15" s="1">
        <v>4</v>
      </c>
      <c r="D15" s="1"/>
    </row>
    <row r="16" spans="1:4" ht="17.45" customHeight="1" x14ac:dyDescent="0.2">
      <c r="A16" s="1">
        <v>8</v>
      </c>
      <c r="B16" s="1" t="s">
        <v>23</v>
      </c>
      <c r="C16" s="1">
        <v>4</v>
      </c>
      <c r="D16" s="1"/>
    </row>
    <row r="17" spans="1:4" ht="17.45" customHeight="1" x14ac:dyDescent="0.2">
      <c r="A17" s="1">
        <v>9</v>
      </c>
      <c r="B17" s="1" t="s">
        <v>24</v>
      </c>
      <c r="C17" s="1">
        <v>2</v>
      </c>
      <c r="D17" s="1"/>
    </row>
    <row r="18" spans="1:4" ht="17.45" customHeight="1" x14ac:dyDescent="0.2">
      <c r="A18" s="1">
        <v>10</v>
      </c>
      <c r="B18" s="9" t="s">
        <v>25</v>
      </c>
      <c r="C18" s="3">
        <v>2</v>
      </c>
      <c r="D18" s="1"/>
    </row>
    <row r="19" spans="1:4" ht="17.45" customHeight="1" x14ac:dyDescent="0.2">
      <c r="A19" s="1">
        <v>11</v>
      </c>
      <c r="B19" s="9" t="s">
        <v>26</v>
      </c>
      <c r="C19" s="3">
        <v>60</v>
      </c>
      <c r="D19" s="1"/>
    </row>
    <row r="20" spans="1:4" ht="17.45" customHeight="1" x14ac:dyDescent="0.2">
      <c r="A20" s="1">
        <v>12</v>
      </c>
      <c r="B20" s="9" t="s">
        <v>27</v>
      </c>
      <c r="C20" s="3">
        <v>16</v>
      </c>
      <c r="D20" s="1"/>
    </row>
    <row r="21" spans="1:4" ht="17.45" customHeight="1" x14ac:dyDescent="0.2">
      <c r="A21" s="1">
        <v>13</v>
      </c>
      <c r="B21" s="9" t="s">
        <v>28</v>
      </c>
      <c r="C21" s="3">
        <v>16</v>
      </c>
      <c r="D21" s="1"/>
    </row>
    <row r="22" spans="1:4" ht="17.45" customHeight="1" x14ac:dyDescent="0.2">
      <c r="A22" s="1">
        <v>14</v>
      </c>
      <c r="B22" s="9" t="s">
        <v>29</v>
      </c>
      <c r="C22" s="3">
        <v>12</v>
      </c>
      <c r="D22" s="1"/>
    </row>
    <row r="23" spans="1:4" ht="17.45" customHeight="1" x14ac:dyDescent="0.2">
      <c r="A23" s="1">
        <v>15</v>
      </c>
      <c r="B23" s="1" t="s">
        <v>30</v>
      </c>
      <c r="C23" s="1">
        <v>1</v>
      </c>
      <c r="D23" s="1"/>
    </row>
    <row r="24" spans="1:4" ht="17.45" customHeight="1" x14ac:dyDescent="0.2">
      <c r="A24" s="1">
        <v>16</v>
      </c>
      <c r="B24" s="1" t="s">
        <v>31</v>
      </c>
      <c r="C24" s="1">
        <v>49</v>
      </c>
      <c r="D24" s="1"/>
    </row>
    <row r="25" spans="1:4" ht="17.45" customHeight="1" x14ac:dyDescent="0.2">
      <c r="A25" s="1">
        <v>17</v>
      </c>
      <c r="B25" s="1" t="s">
        <v>32</v>
      </c>
      <c r="C25" s="1">
        <v>12</v>
      </c>
      <c r="D25" s="1"/>
    </row>
    <row r="26" spans="1:4" ht="17.45" customHeight="1" x14ac:dyDescent="0.2">
      <c r="A26" s="1">
        <v>18</v>
      </c>
      <c r="B26" s="1" t="s">
        <v>33</v>
      </c>
      <c r="C26" s="1">
        <v>8</v>
      </c>
      <c r="D26" s="1"/>
    </row>
    <row r="27" spans="1:4" ht="17.45" customHeight="1" x14ac:dyDescent="0.2">
      <c r="A27" s="1">
        <v>19</v>
      </c>
      <c r="B27" s="1" t="s">
        <v>34</v>
      </c>
      <c r="C27" s="1">
        <v>6</v>
      </c>
      <c r="D27" s="1"/>
    </row>
    <row r="28" spans="1:4" ht="17.45" customHeight="1" x14ac:dyDescent="0.2">
      <c r="A28" s="1">
        <v>20</v>
      </c>
      <c r="B28" s="1" t="s">
        <v>35</v>
      </c>
      <c r="C28" s="1">
        <v>6</v>
      </c>
      <c r="D28" s="1"/>
    </row>
    <row r="29" spans="1:4" ht="17.45" customHeight="1" x14ac:dyDescent="0.2">
      <c r="A29" s="1">
        <v>21</v>
      </c>
      <c r="B29" s="1" t="s">
        <v>36</v>
      </c>
      <c r="C29" s="3">
        <v>5</v>
      </c>
      <c r="D29" s="1"/>
    </row>
    <row r="30" spans="1:4" ht="17.45" customHeight="1" x14ac:dyDescent="0.2">
      <c r="A30" s="1">
        <v>22</v>
      </c>
      <c r="B30" s="1" t="s">
        <v>37</v>
      </c>
      <c r="C30" s="3">
        <v>10</v>
      </c>
      <c r="D30" s="1"/>
    </row>
    <row r="31" spans="1:4" ht="17.45" customHeight="1" x14ac:dyDescent="0.2">
      <c r="A31" s="1">
        <v>23</v>
      </c>
      <c r="B31" s="1" t="s">
        <v>38</v>
      </c>
      <c r="C31" s="3">
        <v>1</v>
      </c>
      <c r="D31" s="1"/>
    </row>
    <row r="32" spans="1:4" ht="17.45" customHeight="1" x14ac:dyDescent="0.2">
      <c r="A32" s="1">
        <v>24</v>
      </c>
      <c r="B32" s="1" t="s">
        <v>39</v>
      </c>
      <c r="C32" s="3">
        <v>10</v>
      </c>
      <c r="D32" s="1"/>
    </row>
    <row r="33" spans="1:4" ht="17.45" customHeight="1" x14ac:dyDescent="0.2">
      <c r="A33" s="1">
        <v>25</v>
      </c>
      <c r="B33" s="1" t="s">
        <v>40</v>
      </c>
      <c r="C33" s="3">
        <v>1</v>
      </c>
      <c r="D33" s="1"/>
    </row>
    <row r="34" spans="1:4" ht="17.45" customHeight="1" x14ac:dyDescent="0.2">
      <c r="A34" s="1">
        <v>26</v>
      </c>
      <c r="B34" s="1" t="s">
        <v>41</v>
      </c>
      <c r="C34" s="3">
        <v>5</v>
      </c>
      <c r="D34" s="1"/>
    </row>
    <row r="35" spans="1:4" ht="17.45" customHeight="1" x14ac:dyDescent="0.2">
      <c r="A35" s="1">
        <v>27</v>
      </c>
      <c r="B35" s="1" t="s">
        <v>42</v>
      </c>
      <c r="C35" s="3">
        <v>7</v>
      </c>
      <c r="D35" s="1"/>
    </row>
    <row r="36" spans="1:4" ht="17.45" customHeight="1" x14ac:dyDescent="0.2">
      <c r="A36" s="1">
        <v>28</v>
      </c>
      <c r="B36" s="1" t="s">
        <v>43</v>
      </c>
      <c r="C36" s="3">
        <v>59</v>
      </c>
      <c r="D36" s="1"/>
    </row>
    <row r="37" spans="1:4" ht="17.45" customHeight="1" x14ac:dyDescent="0.2">
      <c r="A37" s="1">
        <v>29</v>
      </c>
      <c r="B37" s="1" t="s">
        <v>44</v>
      </c>
      <c r="C37" s="3">
        <v>56</v>
      </c>
      <c r="D37" s="1"/>
    </row>
    <row r="38" spans="1:4" ht="17.45" customHeight="1" x14ac:dyDescent="0.2">
      <c r="A38" s="23" t="s">
        <v>45</v>
      </c>
      <c r="B38" s="23"/>
      <c r="C38" s="23" t="s">
        <v>46</v>
      </c>
      <c r="D38" s="23"/>
    </row>
    <row r="39" spans="1:4" ht="17.45" customHeight="1" x14ac:dyDescent="0.2">
      <c r="A39" s="24" t="s">
        <v>47</v>
      </c>
      <c r="B39" s="25"/>
      <c r="C39" s="25"/>
      <c r="D39" s="26"/>
    </row>
    <row r="40" spans="1:4" ht="17.45" customHeight="1" x14ac:dyDescent="0.2">
      <c r="A40" s="27"/>
      <c r="B40" s="28"/>
      <c r="C40" s="28"/>
      <c r="D40" s="29"/>
    </row>
    <row r="41" spans="1:4" ht="17.45" customHeight="1" x14ac:dyDescent="0.2">
      <c r="A41" s="23" t="s">
        <v>48</v>
      </c>
      <c r="B41" s="23"/>
      <c r="C41" s="23"/>
      <c r="D41" s="23"/>
    </row>
    <row r="42" spans="1:4" ht="17.45" customHeight="1" x14ac:dyDescent="0.2">
      <c r="A42" s="1" t="s">
        <v>49</v>
      </c>
      <c r="B42" s="1" t="s">
        <v>50</v>
      </c>
      <c r="C42" s="1" t="s">
        <v>51</v>
      </c>
      <c r="D42" s="1" t="s">
        <v>52</v>
      </c>
    </row>
    <row r="43" spans="1:4" ht="17.45" customHeight="1" x14ac:dyDescent="0.2">
      <c r="A43" s="1" t="s">
        <v>53</v>
      </c>
      <c r="B43" s="1" t="s">
        <v>50</v>
      </c>
      <c r="C43" s="1" t="s">
        <v>54</v>
      </c>
      <c r="D43" s="1" t="s">
        <v>52</v>
      </c>
    </row>
    <row r="44" spans="1:4" ht="17.45" customHeight="1" x14ac:dyDescent="0.2">
      <c r="A44" s="1" t="s">
        <v>55</v>
      </c>
      <c r="B44" s="1" t="s">
        <v>52</v>
      </c>
      <c r="C44" s="1" t="s">
        <v>56</v>
      </c>
      <c r="D44" s="1" t="s">
        <v>52</v>
      </c>
    </row>
  </sheetData>
  <mergeCells count="7">
    <mergeCell ref="A41:D41"/>
    <mergeCell ref="A39:D40"/>
    <mergeCell ref="A1:D1"/>
    <mergeCell ref="A4:D4"/>
    <mergeCell ref="A7:D7"/>
    <mergeCell ref="A38:B38"/>
    <mergeCell ref="C38:D38"/>
  </mergeCells>
  <phoneticPr fontId="4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CBBD-0E24-4F71-91C1-F9D95F9AE647}">
  <dimension ref="A2:Y30"/>
  <sheetViews>
    <sheetView zoomScale="130" zoomScaleNormal="130" workbookViewId="0">
      <selection activeCell="H29" sqref="H29"/>
    </sheetView>
  </sheetViews>
  <sheetFormatPr defaultColWidth="2.5" defaultRowHeight="14.25" x14ac:dyDescent="0.2"/>
  <cols>
    <col min="1" max="1" width="15.125" bestFit="1" customWidth="1"/>
    <col min="2" max="2" width="3.5" bestFit="1" customWidth="1"/>
    <col min="3" max="4" width="5.5" bestFit="1" customWidth="1"/>
    <col min="5" max="5" width="2.5" bestFit="1" customWidth="1"/>
    <col min="6" max="13" width="2.5" style="12" bestFit="1" customWidth="1"/>
    <col min="14" max="16" width="2.5" style="15" bestFit="1" customWidth="1"/>
    <col min="17" max="17" width="2.5" bestFit="1" customWidth="1"/>
    <col min="18" max="18" width="3.5" bestFit="1" customWidth="1"/>
    <col min="19" max="19" width="2.5" bestFit="1" customWidth="1"/>
    <col min="20" max="21" width="3.5" bestFit="1" customWidth="1"/>
    <col min="22" max="22" width="2.5" bestFit="1" customWidth="1"/>
    <col min="24" max="25" width="3.5" bestFit="1" customWidth="1"/>
  </cols>
  <sheetData>
    <row r="2" spans="1:25" x14ac:dyDescent="0.2">
      <c r="A2" s="6" t="s">
        <v>17</v>
      </c>
      <c r="B2" s="6">
        <v>4</v>
      </c>
      <c r="C2">
        <v>5500</v>
      </c>
      <c r="D2">
        <f>C2-300</f>
        <v>5200</v>
      </c>
    </row>
    <row r="3" spans="1:25" x14ac:dyDescent="0.2">
      <c r="A3" s="6" t="s">
        <v>18</v>
      </c>
      <c r="B3" s="6">
        <v>3</v>
      </c>
      <c r="C3">
        <v>5200</v>
      </c>
      <c r="D3">
        <f t="shared" ref="D3:D9" si="0">C3-300</f>
        <v>4900</v>
      </c>
    </row>
    <row r="4" spans="1:25" x14ac:dyDescent="0.2">
      <c r="A4" s="6" t="s">
        <v>19</v>
      </c>
      <c r="B4" s="6">
        <v>7</v>
      </c>
      <c r="C4">
        <v>5000</v>
      </c>
      <c r="D4">
        <f t="shared" si="0"/>
        <v>4700</v>
      </c>
    </row>
    <row r="5" spans="1:25" x14ac:dyDescent="0.2">
      <c r="A5" s="6" t="s">
        <v>20</v>
      </c>
      <c r="B5" s="6">
        <v>25</v>
      </c>
      <c r="C5">
        <v>4700</v>
      </c>
      <c r="D5">
        <f t="shared" si="0"/>
        <v>4400</v>
      </c>
    </row>
    <row r="6" spans="1:25" x14ac:dyDescent="0.2">
      <c r="A6" s="6" t="s">
        <v>21</v>
      </c>
      <c r="B6" s="6">
        <v>4</v>
      </c>
      <c r="C6">
        <v>4600</v>
      </c>
      <c r="D6">
        <f t="shared" si="0"/>
        <v>4300</v>
      </c>
    </row>
    <row r="7" spans="1:25" x14ac:dyDescent="0.2">
      <c r="A7" s="6" t="s">
        <v>22</v>
      </c>
      <c r="B7" s="6">
        <v>4</v>
      </c>
      <c r="C7">
        <v>4500</v>
      </c>
      <c r="D7">
        <f t="shared" si="0"/>
        <v>4200</v>
      </c>
    </row>
    <row r="8" spans="1:25" x14ac:dyDescent="0.2">
      <c r="A8" s="6" t="s">
        <v>23</v>
      </c>
      <c r="B8" s="6">
        <v>4</v>
      </c>
      <c r="C8">
        <v>4400</v>
      </c>
      <c r="D8">
        <f t="shared" si="0"/>
        <v>4100</v>
      </c>
    </row>
    <row r="9" spans="1:25" x14ac:dyDescent="0.2">
      <c r="A9" s="6" t="s">
        <v>24</v>
      </c>
      <c r="B9" s="6">
        <v>2</v>
      </c>
      <c r="C9">
        <v>4200</v>
      </c>
      <c r="D9">
        <f t="shared" si="0"/>
        <v>3900</v>
      </c>
    </row>
    <row r="10" spans="1:25" x14ac:dyDescent="0.2">
      <c r="F10" s="12">
        <v>5</v>
      </c>
      <c r="G10" s="12">
        <v>5</v>
      </c>
      <c r="H10" s="12">
        <v>1</v>
      </c>
      <c r="I10" s="12">
        <v>2</v>
      </c>
      <c r="J10" s="12">
        <v>2</v>
      </c>
      <c r="K10" s="12">
        <v>1</v>
      </c>
      <c r="L10" s="12">
        <v>1</v>
      </c>
      <c r="M10" s="12">
        <v>1</v>
      </c>
      <c r="N10" s="15">
        <v>1</v>
      </c>
      <c r="O10" s="15">
        <v>2</v>
      </c>
      <c r="P10" s="15">
        <v>1</v>
      </c>
      <c r="Q10">
        <v>3</v>
      </c>
      <c r="R10">
        <v>20</v>
      </c>
      <c r="S10">
        <v>2</v>
      </c>
      <c r="T10">
        <v>4</v>
      </c>
      <c r="U10">
        <v>14</v>
      </c>
      <c r="V10">
        <v>2</v>
      </c>
      <c r="W10">
        <v>2</v>
      </c>
      <c r="X10">
        <v>26</v>
      </c>
      <c r="Y10">
        <v>5</v>
      </c>
    </row>
    <row r="11" spans="1:25" s="11" customFormat="1" x14ac:dyDescent="0.2">
      <c r="A11" s="10" t="s">
        <v>36</v>
      </c>
      <c r="B11" s="10">
        <v>5</v>
      </c>
      <c r="C11" s="11">
        <v>5200</v>
      </c>
      <c r="D11" s="11">
        <f t="shared" ref="D11:D30" si="1">C11-300</f>
        <v>4900</v>
      </c>
      <c r="E11" s="11">
        <f>B11-SUM(F11:AP11)</f>
        <v>0</v>
      </c>
      <c r="F11" s="12">
        <v>5</v>
      </c>
      <c r="G11" s="12"/>
      <c r="H11" s="12"/>
      <c r="I11" s="12"/>
      <c r="J11" s="12"/>
      <c r="K11" s="12"/>
      <c r="L11" s="12"/>
      <c r="M11" s="12"/>
      <c r="N11" s="15"/>
      <c r="O11" s="15"/>
      <c r="P11" s="15"/>
      <c r="Q11"/>
      <c r="R11"/>
      <c r="S11"/>
      <c r="T11"/>
      <c r="U11"/>
    </row>
    <row r="12" spans="1:25" s="11" customFormat="1" x14ac:dyDescent="0.2">
      <c r="A12" s="10" t="s">
        <v>37</v>
      </c>
      <c r="B12" s="10">
        <v>10</v>
      </c>
      <c r="C12" s="11">
        <v>5000</v>
      </c>
      <c r="D12" s="11">
        <f t="shared" si="1"/>
        <v>4700</v>
      </c>
      <c r="E12" s="11">
        <f t="shared" ref="E12:E30" si="2">B12-SUM(F12:AP12)</f>
        <v>0</v>
      </c>
      <c r="F12" s="12"/>
      <c r="G12" s="12">
        <v>5</v>
      </c>
      <c r="H12" s="12">
        <v>1</v>
      </c>
      <c r="I12" s="12">
        <v>2</v>
      </c>
      <c r="J12" s="12">
        <v>2</v>
      </c>
      <c r="K12" s="12"/>
      <c r="L12" s="12"/>
      <c r="M12" s="12"/>
      <c r="N12" s="15"/>
      <c r="O12" s="15"/>
      <c r="P12" s="15"/>
      <c r="Q12"/>
      <c r="R12"/>
      <c r="S12"/>
      <c r="T12"/>
      <c r="U12"/>
    </row>
    <row r="13" spans="1:25" s="11" customFormat="1" x14ac:dyDescent="0.2">
      <c r="A13" s="10" t="s">
        <v>38</v>
      </c>
      <c r="B13" s="10">
        <v>1</v>
      </c>
      <c r="C13" s="11">
        <v>4900</v>
      </c>
      <c r="D13" s="11">
        <f t="shared" si="1"/>
        <v>4600</v>
      </c>
      <c r="E13" s="11">
        <f t="shared" si="2"/>
        <v>0</v>
      </c>
      <c r="F13" s="12"/>
      <c r="G13" s="12"/>
      <c r="H13" s="12"/>
      <c r="I13" s="12"/>
      <c r="J13" s="12"/>
      <c r="K13" s="12">
        <v>1</v>
      </c>
      <c r="L13" s="12"/>
      <c r="M13" s="12"/>
      <c r="N13" s="15"/>
      <c r="O13" s="15"/>
      <c r="P13" s="15"/>
      <c r="Q13"/>
      <c r="R13"/>
      <c r="S13"/>
      <c r="T13"/>
      <c r="U13"/>
    </row>
    <row r="14" spans="1:25" s="11" customFormat="1" x14ac:dyDescent="0.2">
      <c r="A14" s="10" t="s">
        <v>39</v>
      </c>
      <c r="B14" s="10">
        <v>10</v>
      </c>
      <c r="C14" s="11">
        <v>4600</v>
      </c>
      <c r="D14" s="11">
        <f t="shared" si="1"/>
        <v>4300</v>
      </c>
      <c r="E14" s="11">
        <f t="shared" si="2"/>
        <v>0</v>
      </c>
      <c r="F14" s="12">
        <v>5</v>
      </c>
      <c r="G14" s="12">
        <v>5</v>
      </c>
      <c r="H14" s="12"/>
      <c r="I14" s="12"/>
      <c r="J14" s="12"/>
      <c r="K14" s="12"/>
      <c r="L14" s="12"/>
      <c r="M14" s="12"/>
      <c r="N14" s="15"/>
      <c r="O14" s="15"/>
      <c r="P14" s="15"/>
      <c r="Q14"/>
      <c r="R14"/>
      <c r="S14"/>
      <c r="T14"/>
      <c r="U14"/>
    </row>
    <row r="15" spans="1:25" s="11" customFormat="1" x14ac:dyDescent="0.2">
      <c r="A15" s="10" t="s">
        <v>40</v>
      </c>
      <c r="B15" s="10">
        <v>1</v>
      </c>
      <c r="C15" s="11">
        <v>4400</v>
      </c>
      <c r="D15" s="11">
        <f t="shared" si="1"/>
        <v>4100</v>
      </c>
      <c r="E15" s="11">
        <f t="shared" si="2"/>
        <v>0</v>
      </c>
      <c r="F15" s="12"/>
      <c r="G15" s="12"/>
      <c r="H15" s="12">
        <v>1</v>
      </c>
      <c r="I15" s="12"/>
      <c r="J15" s="12"/>
      <c r="K15" s="12"/>
      <c r="L15" s="12"/>
      <c r="M15" s="12"/>
      <c r="N15" s="15"/>
      <c r="O15" s="15"/>
      <c r="P15" s="15"/>
      <c r="Q15"/>
      <c r="R15"/>
      <c r="S15"/>
      <c r="T15"/>
      <c r="U15"/>
    </row>
    <row r="16" spans="1:25" s="11" customFormat="1" x14ac:dyDescent="0.2">
      <c r="A16" s="10" t="s">
        <v>25</v>
      </c>
      <c r="B16" s="10">
        <v>2</v>
      </c>
      <c r="C16" s="11">
        <v>4200</v>
      </c>
      <c r="D16" s="11">
        <f t="shared" si="1"/>
        <v>3900</v>
      </c>
      <c r="E16" s="11">
        <f t="shared" si="2"/>
        <v>0</v>
      </c>
      <c r="F16" s="12"/>
      <c r="G16" s="12"/>
      <c r="H16" s="12"/>
      <c r="I16" s="12">
        <v>2</v>
      </c>
      <c r="J16" s="12"/>
      <c r="K16" s="12"/>
      <c r="L16" s="12"/>
      <c r="M16" s="12"/>
      <c r="N16" s="15"/>
      <c r="O16" s="15"/>
      <c r="P16" s="15"/>
      <c r="Q16"/>
      <c r="R16"/>
      <c r="S16"/>
      <c r="T16"/>
      <c r="U16"/>
    </row>
    <row r="17" spans="1:25" s="11" customFormat="1" x14ac:dyDescent="0.2">
      <c r="A17" s="10" t="s">
        <v>41</v>
      </c>
      <c r="B17" s="10">
        <v>5</v>
      </c>
      <c r="C17" s="11">
        <v>4200</v>
      </c>
      <c r="D17" s="11">
        <f t="shared" si="1"/>
        <v>3900</v>
      </c>
      <c r="E17" s="11">
        <f t="shared" si="2"/>
        <v>0</v>
      </c>
      <c r="F17" s="12"/>
      <c r="G17" s="12"/>
      <c r="H17" s="12"/>
      <c r="I17" s="12"/>
      <c r="J17" s="12">
        <v>2</v>
      </c>
      <c r="K17" s="12">
        <v>1</v>
      </c>
      <c r="L17" s="12">
        <v>2</v>
      </c>
      <c r="M17" s="12"/>
      <c r="N17" s="15"/>
      <c r="O17" s="15"/>
      <c r="P17" s="15"/>
      <c r="Q17"/>
      <c r="R17"/>
      <c r="S17"/>
      <c r="T17"/>
      <c r="U17"/>
    </row>
    <row r="18" spans="1:25" s="11" customFormat="1" x14ac:dyDescent="0.2">
      <c r="A18" s="10" t="s">
        <v>30</v>
      </c>
      <c r="B18" s="10">
        <v>1</v>
      </c>
      <c r="C18" s="11">
        <v>4000</v>
      </c>
      <c r="D18" s="11">
        <f t="shared" si="1"/>
        <v>3700</v>
      </c>
      <c r="E18" s="11">
        <f t="shared" si="2"/>
        <v>0</v>
      </c>
      <c r="F18" s="12"/>
      <c r="G18" s="12"/>
      <c r="H18" s="12"/>
      <c r="I18" s="12"/>
      <c r="J18" s="12"/>
      <c r="K18" s="12"/>
      <c r="L18" s="12">
        <v>1</v>
      </c>
      <c r="M18" s="12"/>
      <c r="N18" s="15"/>
      <c r="O18" s="15"/>
      <c r="P18" s="15"/>
      <c r="Q18"/>
      <c r="R18"/>
      <c r="S18"/>
      <c r="T18"/>
      <c r="U18"/>
    </row>
    <row r="19" spans="1:25" x14ac:dyDescent="0.2">
      <c r="A19" s="3" t="s">
        <v>42</v>
      </c>
      <c r="B19" s="3">
        <v>7</v>
      </c>
      <c r="C19">
        <v>4000</v>
      </c>
      <c r="D19" s="2">
        <f t="shared" si="1"/>
        <v>3700</v>
      </c>
      <c r="E19" s="2">
        <f t="shared" si="2"/>
        <v>0</v>
      </c>
      <c r="F19" s="13"/>
      <c r="G19" s="13"/>
      <c r="H19" s="13"/>
      <c r="I19" s="13"/>
      <c r="J19" s="13"/>
      <c r="K19" s="13"/>
      <c r="L19" s="13"/>
      <c r="M19" s="13"/>
      <c r="N19" s="16"/>
      <c r="O19" s="16"/>
      <c r="P19" s="16"/>
      <c r="Q19" s="2">
        <v>7</v>
      </c>
      <c r="R19" s="2"/>
      <c r="S19" s="2"/>
      <c r="T19" s="2"/>
      <c r="U19" s="2"/>
      <c r="V19" s="2"/>
      <c r="W19" s="2"/>
      <c r="X19" s="2"/>
      <c r="Y19" s="2"/>
    </row>
    <row r="20" spans="1:25" x14ac:dyDescent="0.2">
      <c r="A20" s="17" t="s">
        <v>60</v>
      </c>
      <c r="B20" s="5">
        <v>60</v>
      </c>
      <c r="C20">
        <v>3800</v>
      </c>
      <c r="D20" s="2">
        <f t="shared" si="1"/>
        <v>3500</v>
      </c>
      <c r="E20" s="2">
        <f t="shared" si="2"/>
        <v>0</v>
      </c>
      <c r="F20" s="13"/>
      <c r="G20" s="13"/>
      <c r="H20" s="13"/>
      <c r="I20" s="13"/>
      <c r="J20" s="13"/>
      <c r="K20" s="13">
        <v>1</v>
      </c>
      <c r="L20" s="13"/>
      <c r="M20" s="13">
        <v>1</v>
      </c>
      <c r="N20" s="16">
        <v>1</v>
      </c>
      <c r="O20" s="16">
        <v>2</v>
      </c>
      <c r="P20" s="16"/>
      <c r="Q20" s="2">
        <v>2</v>
      </c>
      <c r="R20" s="2">
        <v>50</v>
      </c>
      <c r="S20" s="2">
        <v>3</v>
      </c>
      <c r="T20" s="2"/>
      <c r="U20" s="2"/>
      <c r="V20" s="2"/>
      <c r="W20" s="2"/>
      <c r="X20" s="2"/>
      <c r="Y20" s="2"/>
    </row>
    <row r="21" spans="1:25" x14ac:dyDescent="0.2">
      <c r="A21" s="4" t="s">
        <v>31</v>
      </c>
      <c r="B21" s="4">
        <v>49</v>
      </c>
      <c r="C21">
        <v>3800</v>
      </c>
      <c r="D21" s="2">
        <f t="shared" si="1"/>
        <v>3500</v>
      </c>
      <c r="E21" s="2">
        <f t="shared" si="2"/>
        <v>0</v>
      </c>
      <c r="F21" s="13"/>
      <c r="G21" s="13"/>
      <c r="H21" s="13"/>
      <c r="I21" s="13"/>
      <c r="J21" s="13"/>
      <c r="K21" s="13"/>
      <c r="L21" s="13"/>
      <c r="M21" s="13"/>
      <c r="N21" s="16"/>
      <c r="O21" s="16"/>
      <c r="P21" s="16"/>
      <c r="Q21" s="2"/>
      <c r="R21" s="2"/>
      <c r="S21" s="2">
        <v>2</v>
      </c>
      <c r="T21" s="2">
        <v>10</v>
      </c>
      <c r="U21" s="2">
        <v>35</v>
      </c>
      <c r="V21" s="2">
        <v>2</v>
      </c>
      <c r="W21" s="2"/>
      <c r="X21" s="2"/>
      <c r="Y21" s="2"/>
    </row>
    <row r="22" spans="1:25" x14ac:dyDescent="0.2">
      <c r="A22" s="19" t="s">
        <v>65</v>
      </c>
      <c r="B22" s="3">
        <v>59</v>
      </c>
      <c r="C22">
        <v>3800</v>
      </c>
      <c r="D22" s="2">
        <f t="shared" si="1"/>
        <v>3500</v>
      </c>
      <c r="E22" s="2">
        <f t="shared" si="2"/>
        <v>0</v>
      </c>
      <c r="F22" s="13"/>
      <c r="G22" s="13"/>
      <c r="H22" s="13"/>
      <c r="I22" s="13"/>
      <c r="J22" s="13"/>
      <c r="K22" s="13"/>
      <c r="L22" s="13"/>
      <c r="M22" s="13"/>
      <c r="N22" s="16"/>
      <c r="O22" s="16"/>
      <c r="P22" s="16"/>
      <c r="Q22" s="2"/>
      <c r="R22" s="2"/>
      <c r="S22" s="2"/>
      <c r="T22" s="2"/>
      <c r="U22" s="2"/>
      <c r="V22" s="2">
        <v>3</v>
      </c>
      <c r="W22" s="2">
        <v>4</v>
      </c>
      <c r="X22" s="2">
        <v>52</v>
      </c>
      <c r="Y22" s="2"/>
    </row>
    <row r="23" spans="1:25" x14ac:dyDescent="0.2">
      <c r="A23" s="17" t="s">
        <v>63</v>
      </c>
      <c r="B23" s="5">
        <v>16</v>
      </c>
      <c r="C23">
        <v>3600</v>
      </c>
      <c r="D23" s="2">
        <f t="shared" si="1"/>
        <v>3300</v>
      </c>
      <c r="E23" s="2">
        <f t="shared" si="2"/>
        <v>0</v>
      </c>
      <c r="F23" s="13"/>
      <c r="G23" s="13"/>
      <c r="H23" s="13"/>
      <c r="I23" s="13">
        <v>2</v>
      </c>
      <c r="J23" s="13">
        <v>2</v>
      </c>
      <c r="K23" s="13"/>
      <c r="L23" s="13"/>
      <c r="M23" s="13"/>
      <c r="N23" s="16"/>
      <c r="O23" s="16"/>
      <c r="P23" s="16">
        <v>1</v>
      </c>
      <c r="Q23" s="2"/>
      <c r="R23" s="2">
        <v>10</v>
      </c>
      <c r="S23" s="2">
        <v>1</v>
      </c>
      <c r="T23" s="2"/>
      <c r="U23" s="2"/>
      <c r="V23" s="2"/>
      <c r="W23" s="2"/>
      <c r="X23" s="2"/>
      <c r="Y23" s="2"/>
    </row>
    <row r="24" spans="1:25" x14ac:dyDescent="0.2">
      <c r="A24" s="20" t="s">
        <v>66</v>
      </c>
      <c r="B24" s="4">
        <v>12</v>
      </c>
      <c r="C24">
        <v>3600</v>
      </c>
      <c r="D24" s="2">
        <f t="shared" si="1"/>
        <v>3300</v>
      </c>
      <c r="E24" s="2">
        <f t="shared" si="2"/>
        <v>0</v>
      </c>
      <c r="F24" s="13"/>
      <c r="G24" s="13"/>
      <c r="H24" s="13"/>
      <c r="I24" s="13"/>
      <c r="J24" s="13"/>
      <c r="K24" s="13"/>
      <c r="L24" s="13"/>
      <c r="M24" s="13"/>
      <c r="N24" s="16"/>
      <c r="O24" s="16"/>
      <c r="P24" s="16"/>
      <c r="Q24" s="2"/>
      <c r="R24" s="2"/>
      <c r="S24" s="2"/>
      <c r="T24" s="2">
        <v>2</v>
      </c>
      <c r="U24" s="2">
        <v>7</v>
      </c>
      <c r="V24" s="2">
        <v>1</v>
      </c>
      <c r="W24" s="2">
        <v>2</v>
      </c>
      <c r="X24" s="2"/>
      <c r="Y24" s="2"/>
    </row>
    <row r="25" spans="1:25" x14ac:dyDescent="0.2">
      <c r="A25" s="19" t="s">
        <v>67</v>
      </c>
      <c r="B25" s="3">
        <v>56</v>
      </c>
      <c r="C25">
        <v>3600</v>
      </c>
      <c r="D25" s="2">
        <f t="shared" si="1"/>
        <v>3300</v>
      </c>
      <c r="E25" s="2">
        <f t="shared" si="2"/>
        <v>0</v>
      </c>
      <c r="F25" s="13"/>
      <c r="G25" s="13"/>
      <c r="H25" s="13"/>
      <c r="I25" s="13"/>
      <c r="J25" s="13"/>
      <c r="K25" s="13"/>
      <c r="L25" s="13"/>
      <c r="M25" s="13"/>
      <c r="N25" s="16"/>
      <c r="O25" s="16"/>
      <c r="P25" s="16"/>
      <c r="Q25" s="2"/>
      <c r="R25" s="2"/>
      <c r="S25" s="2"/>
      <c r="T25" s="2"/>
      <c r="U25" s="2"/>
      <c r="V25" s="2"/>
      <c r="W25" s="2">
        <v>1</v>
      </c>
      <c r="X25" s="2">
        <v>39</v>
      </c>
      <c r="Y25" s="2">
        <v>16</v>
      </c>
    </row>
    <row r="26" spans="1:25" x14ac:dyDescent="0.2">
      <c r="A26" s="17" t="s">
        <v>64</v>
      </c>
      <c r="B26" s="5">
        <v>16</v>
      </c>
      <c r="C26">
        <v>3400</v>
      </c>
      <c r="D26" s="2">
        <f t="shared" si="1"/>
        <v>3100</v>
      </c>
      <c r="E26" s="2">
        <f t="shared" si="2"/>
        <v>0</v>
      </c>
      <c r="F26" s="13"/>
      <c r="G26" s="13"/>
      <c r="H26" s="13">
        <v>1</v>
      </c>
      <c r="I26" s="13"/>
      <c r="J26" s="13"/>
      <c r="K26" s="13"/>
      <c r="L26" s="13"/>
      <c r="M26" s="13"/>
      <c r="N26" s="16"/>
      <c r="O26" s="16"/>
      <c r="P26" s="16">
        <v>1</v>
      </c>
      <c r="Q26" s="2">
        <v>1</v>
      </c>
      <c r="R26" s="2">
        <v>10</v>
      </c>
      <c r="S26" s="2">
        <v>1</v>
      </c>
      <c r="T26" s="2">
        <v>2</v>
      </c>
      <c r="U26" s="2"/>
      <c r="V26" s="2"/>
      <c r="W26" s="2"/>
      <c r="X26" s="2"/>
      <c r="Y26" s="2"/>
    </row>
    <row r="27" spans="1:25" x14ac:dyDescent="0.2">
      <c r="A27" s="4" t="s">
        <v>33</v>
      </c>
      <c r="B27" s="4">
        <v>8</v>
      </c>
      <c r="C27">
        <v>3400</v>
      </c>
      <c r="D27" s="2">
        <f t="shared" si="1"/>
        <v>3100</v>
      </c>
      <c r="E27" s="2">
        <f t="shared" si="2"/>
        <v>0</v>
      </c>
      <c r="F27" s="13"/>
      <c r="G27" s="13"/>
      <c r="H27" s="13"/>
      <c r="I27" s="13"/>
      <c r="J27" s="13"/>
      <c r="K27" s="13"/>
      <c r="L27" s="13"/>
      <c r="M27" s="13"/>
      <c r="N27" s="16"/>
      <c r="O27" s="16"/>
      <c r="P27" s="16"/>
      <c r="Q27" s="2"/>
      <c r="R27" s="2"/>
      <c r="S27" s="2"/>
      <c r="T27" s="2"/>
      <c r="U27" s="2">
        <v>7</v>
      </c>
      <c r="V27" s="2">
        <v>1</v>
      </c>
      <c r="W27" s="2"/>
      <c r="X27" s="2"/>
      <c r="Y27" s="2"/>
    </row>
    <row r="28" spans="1:25" s="11" customFormat="1" x14ac:dyDescent="0.2">
      <c r="A28" s="18" t="s">
        <v>61</v>
      </c>
      <c r="B28" s="10">
        <v>6</v>
      </c>
      <c r="C28" s="11">
        <v>3200</v>
      </c>
      <c r="D28" s="14">
        <f t="shared" si="1"/>
        <v>2900</v>
      </c>
      <c r="E28" s="14">
        <f t="shared" si="2"/>
        <v>0</v>
      </c>
      <c r="F28" s="14"/>
      <c r="G28" s="14">
        <v>5</v>
      </c>
      <c r="H28" s="14"/>
      <c r="I28" s="14"/>
      <c r="J28" s="14"/>
      <c r="K28" s="14"/>
      <c r="L28" s="14"/>
      <c r="M28" s="14"/>
      <c r="N28" s="16">
        <v>1</v>
      </c>
      <c r="O28" s="16"/>
      <c r="P28" s="16"/>
      <c r="Q28" s="2"/>
      <c r="R28" s="2"/>
      <c r="S28" s="2"/>
      <c r="T28" s="2"/>
      <c r="U28" s="2"/>
      <c r="V28" s="14"/>
      <c r="W28" s="14"/>
      <c r="X28" s="14"/>
      <c r="Y28" s="14"/>
    </row>
    <row r="29" spans="1:25" s="11" customFormat="1" x14ac:dyDescent="0.2">
      <c r="A29" s="18" t="s">
        <v>62</v>
      </c>
      <c r="B29" s="10">
        <v>12</v>
      </c>
      <c r="C29" s="11">
        <v>3100</v>
      </c>
      <c r="D29" s="14">
        <f t="shared" si="1"/>
        <v>2800</v>
      </c>
      <c r="E29" s="14">
        <f t="shared" si="2"/>
        <v>0</v>
      </c>
      <c r="F29" s="14">
        <v>5</v>
      </c>
      <c r="G29" s="14"/>
      <c r="H29" s="14"/>
      <c r="I29" s="14"/>
      <c r="J29" s="14"/>
      <c r="K29" s="14"/>
      <c r="L29" s="14"/>
      <c r="M29" s="14">
        <v>3</v>
      </c>
      <c r="N29" s="16">
        <v>2</v>
      </c>
      <c r="O29" s="16"/>
      <c r="P29" s="16">
        <v>2</v>
      </c>
      <c r="Q29" s="2"/>
      <c r="R29" s="2"/>
      <c r="S29" s="2"/>
      <c r="T29" s="14"/>
      <c r="U29" s="14"/>
      <c r="V29" s="14"/>
      <c r="W29" s="14"/>
      <c r="X29" s="14"/>
      <c r="Y29" s="14"/>
    </row>
    <row r="30" spans="1:25" s="11" customFormat="1" x14ac:dyDescent="0.2">
      <c r="A30" s="10" t="s">
        <v>35</v>
      </c>
      <c r="B30" s="10">
        <v>6</v>
      </c>
      <c r="C30" s="11">
        <v>3100</v>
      </c>
      <c r="D30" s="14">
        <f t="shared" si="1"/>
        <v>2800</v>
      </c>
      <c r="E30" s="14">
        <f t="shared" si="2"/>
        <v>0</v>
      </c>
      <c r="F30" s="14"/>
      <c r="G30" s="14"/>
      <c r="H30" s="14"/>
      <c r="I30" s="14"/>
      <c r="J30" s="14"/>
      <c r="K30" s="14"/>
      <c r="L30" s="14"/>
      <c r="M30" s="14"/>
      <c r="N30" s="16"/>
      <c r="O30" s="16">
        <v>6</v>
      </c>
      <c r="P30" s="16"/>
      <c r="Q30" s="2"/>
      <c r="R30" s="2"/>
      <c r="S30" s="2"/>
      <c r="T30" s="14"/>
      <c r="U30" s="14"/>
      <c r="V30" s="14"/>
      <c r="W30" s="14"/>
      <c r="X30" s="14"/>
      <c r="Y30" s="14"/>
    </row>
  </sheetData>
  <sortState xmlns:xlrd2="http://schemas.microsoft.com/office/spreadsheetml/2017/richdata2" ref="A11:D30">
    <sortCondition descending="1" ref="D11:D30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AC2B-7D36-4A0D-B21F-B38E4F61E6E5}">
  <dimension ref="B1:HA30"/>
  <sheetViews>
    <sheetView topLeftCell="B1" zoomScale="115" zoomScaleNormal="115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P14" sqref="P14"/>
    </sheetView>
  </sheetViews>
  <sheetFormatPr defaultRowHeight="14.25" x14ac:dyDescent="0.2"/>
  <cols>
    <col min="1" max="1" width="0" style="21" hidden="1" customWidth="1"/>
    <col min="2" max="2" width="15.125" style="21" bestFit="1" customWidth="1"/>
    <col min="3" max="3" width="3.5" style="21" bestFit="1" customWidth="1"/>
    <col min="4" max="4" width="3.5" style="21" customWidth="1"/>
    <col min="5" max="209" width="5.25" style="21" bestFit="1" customWidth="1"/>
    <col min="210" max="16384" width="9" style="21"/>
  </cols>
  <sheetData>
    <row r="1" spans="2:209" x14ac:dyDescent="0.2">
      <c r="E1" s="23">
        <v>1</v>
      </c>
      <c r="F1" s="23"/>
      <c r="G1" s="23"/>
      <c r="H1" s="23"/>
      <c r="I1" s="23"/>
      <c r="J1" s="23">
        <v>2</v>
      </c>
      <c r="K1" s="23"/>
      <c r="L1" s="23"/>
      <c r="M1" s="23"/>
      <c r="N1" s="23"/>
      <c r="O1" s="23">
        <v>3</v>
      </c>
      <c r="P1" s="23"/>
      <c r="Q1" s="23"/>
      <c r="R1" s="23"/>
      <c r="S1" s="23"/>
      <c r="T1" s="23">
        <v>4</v>
      </c>
      <c r="U1" s="23"/>
      <c r="V1" s="23"/>
      <c r="W1" s="23"/>
      <c r="X1" s="23"/>
      <c r="Y1" s="33">
        <v>5</v>
      </c>
      <c r="Z1" s="34"/>
      <c r="AA1" s="34"/>
      <c r="AB1" s="34"/>
      <c r="AC1" s="35"/>
      <c r="AD1" s="33">
        <v>6</v>
      </c>
      <c r="AE1" s="34"/>
      <c r="AF1" s="34"/>
      <c r="AG1" s="34"/>
      <c r="AH1" s="35"/>
      <c r="AI1" s="33">
        <v>7</v>
      </c>
      <c r="AJ1" s="34"/>
      <c r="AK1" s="34"/>
      <c r="AL1" s="34"/>
      <c r="AM1" s="35"/>
      <c r="AN1" s="33">
        <v>8</v>
      </c>
      <c r="AO1" s="34"/>
      <c r="AP1" s="34"/>
      <c r="AQ1" s="34"/>
      <c r="AR1" s="35"/>
      <c r="AS1" s="33">
        <v>9</v>
      </c>
      <c r="AT1" s="34"/>
      <c r="AU1" s="34"/>
      <c r="AV1" s="34"/>
      <c r="AW1" s="35"/>
      <c r="AX1" s="33">
        <v>10</v>
      </c>
      <c r="AY1" s="34"/>
      <c r="AZ1" s="34"/>
      <c r="BA1" s="34"/>
      <c r="BB1" s="35"/>
      <c r="BC1" s="33">
        <v>11</v>
      </c>
      <c r="BD1" s="34"/>
      <c r="BE1" s="34"/>
      <c r="BF1" s="34"/>
      <c r="BG1" s="35"/>
      <c r="BH1" s="33">
        <v>12</v>
      </c>
      <c r="BI1" s="34"/>
      <c r="BJ1" s="34"/>
      <c r="BK1" s="34"/>
      <c r="BL1" s="35"/>
      <c r="BM1" s="33">
        <v>13</v>
      </c>
      <c r="BN1" s="34"/>
      <c r="BO1" s="34"/>
      <c r="BP1" s="34"/>
      <c r="BQ1" s="35"/>
      <c r="BR1" s="33">
        <v>14</v>
      </c>
      <c r="BS1" s="34"/>
      <c r="BT1" s="34"/>
      <c r="BU1" s="34"/>
      <c r="BV1" s="35"/>
      <c r="BW1" s="33">
        <v>15</v>
      </c>
      <c r="BX1" s="34"/>
      <c r="BY1" s="34"/>
      <c r="BZ1" s="34"/>
      <c r="CA1" s="35"/>
      <c r="CB1" s="33">
        <v>16</v>
      </c>
      <c r="CC1" s="34"/>
      <c r="CD1" s="34"/>
      <c r="CE1" s="34"/>
      <c r="CF1" s="35"/>
      <c r="CG1" s="33">
        <v>17</v>
      </c>
      <c r="CH1" s="34"/>
      <c r="CI1" s="34"/>
      <c r="CJ1" s="34"/>
      <c r="CK1" s="35"/>
      <c r="CL1" s="33">
        <v>18</v>
      </c>
      <c r="CM1" s="34"/>
      <c r="CN1" s="34"/>
      <c r="CO1" s="34"/>
      <c r="CP1" s="35"/>
      <c r="CQ1" s="33">
        <v>19</v>
      </c>
      <c r="CR1" s="34"/>
      <c r="CS1" s="34"/>
      <c r="CT1" s="34"/>
      <c r="CU1" s="35"/>
      <c r="CV1" s="33">
        <v>20</v>
      </c>
      <c r="CW1" s="34"/>
      <c r="CX1" s="34"/>
      <c r="CY1" s="34"/>
      <c r="CZ1" s="35"/>
      <c r="DA1" s="33">
        <v>21</v>
      </c>
      <c r="DB1" s="34"/>
      <c r="DC1" s="34"/>
      <c r="DD1" s="34"/>
      <c r="DE1" s="35"/>
      <c r="DF1" s="33">
        <v>22</v>
      </c>
      <c r="DG1" s="34"/>
      <c r="DH1" s="34"/>
      <c r="DI1" s="34"/>
      <c r="DJ1" s="35"/>
      <c r="DK1" s="33">
        <v>23</v>
      </c>
      <c r="DL1" s="34"/>
      <c r="DM1" s="34"/>
      <c r="DN1" s="34"/>
      <c r="DO1" s="35"/>
      <c r="DP1" s="33">
        <v>24</v>
      </c>
      <c r="DQ1" s="34"/>
      <c r="DR1" s="34"/>
      <c r="DS1" s="34"/>
      <c r="DT1" s="35"/>
      <c r="DU1" s="33">
        <v>25</v>
      </c>
      <c r="DV1" s="34"/>
      <c r="DW1" s="34"/>
      <c r="DX1" s="34"/>
      <c r="DY1" s="35"/>
      <c r="DZ1" s="33">
        <v>26</v>
      </c>
      <c r="EA1" s="34"/>
      <c r="EB1" s="34"/>
      <c r="EC1" s="34"/>
      <c r="ED1" s="35"/>
      <c r="EE1" s="33">
        <v>27</v>
      </c>
      <c r="EF1" s="34"/>
      <c r="EG1" s="34"/>
      <c r="EH1" s="34"/>
      <c r="EI1" s="35"/>
      <c r="EJ1" s="33">
        <v>28</v>
      </c>
      <c r="EK1" s="34"/>
      <c r="EL1" s="34"/>
      <c r="EM1" s="34"/>
      <c r="EN1" s="35"/>
      <c r="EO1" s="33">
        <v>29</v>
      </c>
      <c r="EP1" s="34"/>
      <c r="EQ1" s="34"/>
      <c r="ER1" s="34"/>
      <c r="ES1" s="35"/>
      <c r="ET1" s="33">
        <v>30</v>
      </c>
      <c r="EU1" s="34"/>
      <c r="EV1" s="34"/>
      <c r="EW1" s="34"/>
      <c r="EX1" s="35"/>
      <c r="EY1" s="33">
        <v>31</v>
      </c>
      <c r="EZ1" s="34"/>
      <c r="FA1" s="34"/>
      <c r="FB1" s="34"/>
      <c r="FC1" s="35"/>
      <c r="FD1" s="33">
        <v>32</v>
      </c>
      <c r="FE1" s="34"/>
      <c r="FF1" s="34"/>
      <c r="FG1" s="34"/>
      <c r="FH1" s="35"/>
      <c r="FI1" s="33">
        <v>33</v>
      </c>
      <c r="FJ1" s="34"/>
      <c r="FK1" s="34"/>
      <c r="FL1" s="34"/>
      <c r="FM1" s="35"/>
      <c r="FN1" s="33">
        <v>34</v>
      </c>
      <c r="FO1" s="34"/>
      <c r="FP1" s="34"/>
      <c r="FQ1" s="34"/>
      <c r="FR1" s="35"/>
      <c r="FS1" s="33">
        <v>35</v>
      </c>
      <c r="FT1" s="34"/>
      <c r="FU1" s="34"/>
      <c r="FV1" s="34"/>
      <c r="FW1" s="35"/>
      <c r="FX1" s="33">
        <v>36</v>
      </c>
      <c r="FY1" s="34"/>
      <c r="FZ1" s="34"/>
      <c r="GA1" s="34"/>
      <c r="GB1" s="35"/>
      <c r="GC1" s="33">
        <v>37</v>
      </c>
      <c r="GD1" s="34"/>
      <c r="GE1" s="34"/>
      <c r="GF1" s="34"/>
      <c r="GG1" s="35"/>
      <c r="GH1" s="33">
        <v>38</v>
      </c>
      <c r="GI1" s="34"/>
      <c r="GJ1" s="34"/>
      <c r="GK1" s="34"/>
      <c r="GL1" s="35"/>
      <c r="GM1" s="33">
        <v>39</v>
      </c>
      <c r="GN1" s="34"/>
      <c r="GO1" s="34"/>
      <c r="GP1" s="34"/>
      <c r="GQ1" s="35"/>
      <c r="GR1" s="33">
        <v>40</v>
      </c>
      <c r="GS1" s="34"/>
      <c r="GT1" s="34"/>
      <c r="GU1" s="34"/>
      <c r="GV1" s="35"/>
      <c r="GW1" s="33">
        <v>41</v>
      </c>
      <c r="GX1" s="34"/>
      <c r="GY1" s="34"/>
      <c r="GZ1" s="34"/>
      <c r="HA1" s="35"/>
    </row>
    <row r="2" spans="2:209" x14ac:dyDescent="0.2">
      <c r="E2" s="8" t="s">
        <v>68</v>
      </c>
      <c r="F2" s="8" t="s">
        <v>69</v>
      </c>
      <c r="G2" s="8" t="s">
        <v>70</v>
      </c>
      <c r="H2" s="8" t="s">
        <v>71</v>
      </c>
      <c r="I2" s="8" t="s">
        <v>72</v>
      </c>
      <c r="J2" s="8" t="s">
        <v>68</v>
      </c>
      <c r="K2" s="8" t="s">
        <v>69</v>
      </c>
      <c r="L2" s="8" t="s">
        <v>70</v>
      </c>
      <c r="M2" s="8" t="s">
        <v>71</v>
      </c>
      <c r="N2" s="8" t="s">
        <v>72</v>
      </c>
      <c r="O2" s="8" t="s">
        <v>68</v>
      </c>
      <c r="P2" s="8" t="s">
        <v>69</v>
      </c>
      <c r="Q2" s="8" t="s">
        <v>70</v>
      </c>
      <c r="R2" s="8" t="s">
        <v>71</v>
      </c>
      <c r="S2" s="8" t="s">
        <v>72</v>
      </c>
      <c r="T2" s="8" t="s">
        <v>68</v>
      </c>
      <c r="U2" s="8" t="s">
        <v>69</v>
      </c>
      <c r="V2" s="8" t="s">
        <v>70</v>
      </c>
      <c r="W2" s="8" t="s">
        <v>71</v>
      </c>
      <c r="X2" s="8" t="s">
        <v>72</v>
      </c>
      <c r="Y2" s="8" t="s">
        <v>68</v>
      </c>
      <c r="Z2" s="8" t="s">
        <v>69</v>
      </c>
      <c r="AA2" s="8" t="s">
        <v>70</v>
      </c>
      <c r="AB2" s="8" t="s">
        <v>71</v>
      </c>
      <c r="AC2" s="8" t="s">
        <v>72</v>
      </c>
      <c r="AD2" s="8" t="s">
        <v>68</v>
      </c>
      <c r="AE2" s="8" t="s">
        <v>69</v>
      </c>
      <c r="AF2" s="8" t="s">
        <v>70</v>
      </c>
      <c r="AG2" s="8" t="s">
        <v>71</v>
      </c>
      <c r="AH2" s="8" t="s">
        <v>72</v>
      </c>
      <c r="AI2" s="8" t="s">
        <v>68</v>
      </c>
      <c r="AJ2" s="8" t="s">
        <v>69</v>
      </c>
      <c r="AK2" s="8" t="s">
        <v>70</v>
      </c>
      <c r="AL2" s="8" t="s">
        <v>71</v>
      </c>
      <c r="AM2" s="8" t="s">
        <v>72</v>
      </c>
      <c r="AN2" s="8" t="s">
        <v>68</v>
      </c>
      <c r="AO2" s="8" t="s">
        <v>69</v>
      </c>
      <c r="AP2" s="8" t="s">
        <v>70</v>
      </c>
      <c r="AQ2" s="8" t="s">
        <v>71</v>
      </c>
      <c r="AR2" s="8" t="s">
        <v>72</v>
      </c>
      <c r="AS2" s="8" t="s">
        <v>68</v>
      </c>
      <c r="AT2" s="8" t="s">
        <v>69</v>
      </c>
      <c r="AU2" s="8" t="s">
        <v>70</v>
      </c>
      <c r="AV2" s="8" t="s">
        <v>71</v>
      </c>
      <c r="AW2" s="8" t="s">
        <v>72</v>
      </c>
      <c r="AX2" s="8" t="s">
        <v>68</v>
      </c>
      <c r="AY2" s="8" t="s">
        <v>69</v>
      </c>
      <c r="AZ2" s="8" t="s">
        <v>70</v>
      </c>
      <c r="BA2" s="8" t="s">
        <v>71</v>
      </c>
      <c r="BB2" s="8" t="s">
        <v>72</v>
      </c>
      <c r="BC2" s="8" t="s">
        <v>68</v>
      </c>
      <c r="BD2" s="8" t="s">
        <v>69</v>
      </c>
      <c r="BE2" s="8" t="s">
        <v>70</v>
      </c>
      <c r="BF2" s="8" t="s">
        <v>71</v>
      </c>
      <c r="BG2" s="8" t="s">
        <v>72</v>
      </c>
      <c r="BH2" s="8" t="s">
        <v>68</v>
      </c>
      <c r="BI2" s="8" t="s">
        <v>69</v>
      </c>
      <c r="BJ2" s="8" t="s">
        <v>70</v>
      </c>
      <c r="BK2" s="8" t="s">
        <v>71</v>
      </c>
      <c r="BL2" s="8" t="s">
        <v>72</v>
      </c>
      <c r="BM2" s="8" t="s">
        <v>68</v>
      </c>
      <c r="BN2" s="8" t="s">
        <v>69</v>
      </c>
      <c r="BO2" s="8" t="s">
        <v>70</v>
      </c>
      <c r="BP2" s="8" t="s">
        <v>71</v>
      </c>
      <c r="BQ2" s="8" t="s">
        <v>72</v>
      </c>
      <c r="BR2" s="8" t="s">
        <v>68</v>
      </c>
      <c r="BS2" s="8" t="s">
        <v>69</v>
      </c>
      <c r="BT2" s="8" t="s">
        <v>70</v>
      </c>
      <c r="BU2" s="8" t="s">
        <v>71</v>
      </c>
      <c r="BV2" s="8" t="s">
        <v>72</v>
      </c>
      <c r="BW2" s="8" t="s">
        <v>68</v>
      </c>
      <c r="BX2" s="8" t="s">
        <v>69</v>
      </c>
      <c r="BY2" s="8" t="s">
        <v>70</v>
      </c>
      <c r="BZ2" s="8" t="s">
        <v>71</v>
      </c>
      <c r="CA2" s="8" t="s">
        <v>72</v>
      </c>
      <c r="CB2" s="8" t="s">
        <v>68</v>
      </c>
      <c r="CC2" s="8" t="s">
        <v>69</v>
      </c>
      <c r="CD2" s="8" t="s">
        <v>70</v>
      </c>
      <c r="CE2" s="8" t="s">
        <v>71</v>
      </c>
      <c r="CF2" s="8" t="s">
        <v>72</v>
      </c>
      <c r="CG2" s="8" t="s">
        <v>68</v>
      </c>
      <c r="CH2" s="8" t="s">
        <v>69</v>
      </c>
      <c r="CI2" s="8" t="s">
        <v>70</v>
      </c>
      <c r="CJ2" s="8" t="s">
        <v>71</v>
      </c>
      <c r="CK2" s="8" t="s">
        <v>72</v>
      </c>
      <c r="CL2" s="8" t="s">
        <v>68</v>
      </c>
      <c r="CM2" s="8" t="s">
        <v>69</v>
      </c>
      <c r="CN2" s="8" t="s">
        <v>70</v>
      </c>
      <c r="CO2" s="8" t="s">
        <v>71</v>
      </c>
      <c r="CP2" s="8" t="s">
        <v>72</v>
      </c>
      <c r="CQ2" s="8" t="s">
        <v>68</v>
      </c>
      <c r="CR2" s="8" t="s">
        <v>69</v>
      </c>
      <c r="CS2" s="8" t="s">
        <v>70</v>
      </c>
      <c r="CT2" s="8" t="s">
        <v>71</v>
      </c>
      <c r="CU2" s="8" t="s">
        <v>72</v>
      </c>
      <c r="CV2" s="8" t="s">
        <v>68</v>
      </c>
      <c r="CW2" s="8" t="s">
        <v>69</v>
      </c>
      <c r="CX2" s="8" t="s">
        <v>70</v>
      </c>
      <c r="CY2" s="8" t="s">
        <v>71</v>
      </c>
      <c r="CZ2" s="8" t="s">
        <v>72</v>
      </c>
      <c r="DA2" s="8" t="s">
        <v>68</v>
      </c>
      <c r="DB2" s="8" t="s">
        <v>69</v>
      </c>
      <c r="DC2" s="8" t="s">
        <v>70</v>
      </c>
      <c r="DD2" s="8" t="s">
        <v>71</v>
      </c>
      <c r="DE2" s="8" t="s">
        <v>72</v>
      </c>
      <c r="DF2" s="8" t="s">
        <v>68</v>
      </c>
      <c r="DG2" s="8" t="s">
        <v>69</v>
      </c>
      <c r="DH2" s="8" t="s">
        <v>70</v>
      </c>
      <c r="DI2" s="8" t="s">
        <v>71</v>
      </c>
      <c r="DJ2" s="8" t="s">
        <v>72</v>
      </c>
      <c r="DK2" s="8" t="s">
        <v>68</v>
      </c>
      <c r="DL2" s="8" t="s">
        <v>69</v>
      </c>
      <c r="DM2" s="8" t="s">
        <v>70</v>
      </c>
      <c r="DN2" s="8" t="s">
        <v>71</v>
      </c>
      <c r="DO2" s="8" t="s">
        <v>72</v>
      </c>
      <c r="DP2" s="8" t="s">
        <v>68</v>
      </c>
      <c r="DQ2" s="8" t="s">
        <v>69</v>
      </c>
      <c r="DR2" s="8" t="s">
        <v>70</v>
      </c>
      <c r="DS2" s="8" t="s">
        <v>71</v>
      </c>
      <c r="DT2" s="8" t="s">
        <v>72</v>
      </c>
      <c r="DU2" s="8" t="s">
        <v>68</v>
      </c>
      <c r="DV2" s="8" t="s">
        <v>69</v>
      </c>
      <c r="DW2" s="8" t="s">
        <v>70</v>
      </c>
      <c r="DX2" s="8" t="s">
        <v>71</v>
      </c>
      <c r="DY2" s="8" t="s">
        <v>72</v>
      </c>
      <c r="DZ2" s="8" t="s">
        <v>68</v>
      </c>
      <c r="EA2" s="8" t="s">
        <v>69</v>
      </c>
      <c r="EB2" s="8" t="s">
        <v>70</v>
      </c>
      <c r="EC2" s="8" t="s">
        <v>71</v>
      </c>
      <c r="ED2" s="8" t="s">
        <v>72</v>
      </c>
      <c r="EE2" s="8" t="s">
        <v>68</v>
      </c>
      <c r="EF2" s="8" t="s">
        <v>69</v>
      </c>
      <c r="EG2" s="8" t="s">
        <v>70</v>
      </c>
      <c r="EH2" s="8" t="s">
        <v>71</v>
      </c>
      <c r="EI2" s="8" t="s">
        <v>72</v>
      </c>
      <c r="EJ2" s="8" t="s">
        <v>68</v>
      </c>
      <c r="EK2" s="8" t="s">
        <v>69</v>
      </c>
      <c r="EL2" s="8" t="s">
        <v>70</v>
      </c>
      <c r="EM2" s="8" t="s">
        <v>71</v>
      </c>
      <c r="EN2" s="8" t="s">
        <v>72</v>
      </c>
      <c r="EO2" s="8" t="s">
        <v>68</v>
      </c>
      <c r="EP2" s="8" t="s">
        <v>69</v>
      </c>
      <c r="EQ2" s="8" t="s">
        <v>70</v>
      </c>
      <c r="ER2" s="8" t="s">
        <v>71</v>
      </c>
      <c r="ES2" s="8" t="s">
        <v>72</v>
      </c>
      <c r="ET2" s="8" t="s">
        <v>68</v>
      </c>
      <c r="EU2" s="8" t="s">
        <v>69</v>
      </c>
      <c r="EV2" s="8" t="s">
        <v>70</v>
      </c>
      <c r="EW2" s="8" t="s">
        <v>71</v>
      </c>
      <c r="EX2" s="8" t="s">
        <v>72</v>
      </c>
      <c r="EY2" s="8" t="s">
        <v>68</v>
      </c>
      <c r="EZ2" s="8" t="s">
        <v>69</v>
      </c>
      <c r="FA2" s="8" t="s">
        <v>70</v>
      </c>
      <c r="FB2" s="8" t="s">
        <v>71</v>
      </c>
      <c r="FC2" s="8" t="s">
        <v>72</v>
      </c>
      <c r="FD2" s="8" t="s">
        <v>68</v>
      </c>
      <c r="FE2" s="8" t="s">
        <v>69</v>
      </c>
      <c r="FF2" s="8" t="s">
        <v>70</v>
      </c>
      <c r="FG2" s="8" t="s">
        <v>71</v>
      </c>
      <c r="FH2" s="8" t="s">
        <v>72</v>
      </c>
      <c r="FI2" s="8" t="s">
        <v>68</v>
      </c>
      <c r="FJ2" s="8" t="s">
        <v>69</v>
      </c>
      <c r="FK2" s="8" t="s">
        <v>70</v>
      </c>
      <c r="FL2" s="8" t="s">
        <v>71</v>
      </c>
      <c r="FM2" s="8" t="s">
        <v>72</v>
      </c>
      <c r="FN2" s="8" t="s">
        <v>68</v>
      </c>
      <c r="FO2" s="8" t="s">
        <v>69</v>
      </c>
      <c r="FP2" s="8" t="s">
        <v>70</v>
      </c>
      <c r="FQ2" s="8" t="s">
        <v>71</v>
      </c>
      <c r="FR2" s="8" t="s">
        <v>72</v>
      </c>
      <c r="FS2" s="8" t="s">
        <v>68</v>
      </c>
      <c r="FT2" s="8" t="s">
        <v>69</v>
      </c>
      <c r="FU2" s="8" t="s">
        <v>70</v>
      </c>
      <c r="FV2" s="8" t="s">
        <v>71</v>
      </c>
      <c r="FW2" s="8" t="s">
        <v>72</v>
      </c>
      <c r="FX2" s="8" t="s">
        <v>68</v>
      </c>
      <c r="FY2" s="8" t="s">
        <v>69</v>
      </c>
      <c r="FZ2" s="8" t="s">
        <v>70</v>
      </c>
      <c r="GA2" s="8" t="s">
        <v>71</v>
      </c>
      <c r="GB2" s="8" t="s">
        <v>72</v>
      </c>
      <c r="GC2" s="8" t="s">
        <v>68</v>
      </c>
      <c r="GD2" s="8" t="s">
        <v>69</v>
      </c>
      <c r="GE2" s="8" t="s">
        <v>70</v>
      </c>
      <c r="GF2" s="8" t="s">
        <v>71</v>
      </c>
      <c r="GG2" s="8" t="s">
        <v>72</v>
      </c>
      <c r="GH2" s="8" t="s">
        <v>68</v>
      </c>
      <c r="GI2" s="8" t="s">
        <v>69</v>
      </c>
      <c r="GJ2" s="8" t="s">
        <v>70</v>
      </c>
      <c r="GK2" s="8" t="s">
        <v>71</v>
      </c>
      <c r="GL2" s="8" t="s">
        <v>72</v>
      </c>
      <c r="GM2" s="8" t="s">
        <v>68</v>
      </c>
      <c r="GN2" s="8" t="s">
        <v>69</v>
      </c>
      <c r="GO2" s="8" t="s">
        <v>70</v>
      </c>
      <c r="GP2" s="8" t="s">
        <v>71</v>
      </c>
      <c r="GQ2" s="8" t="s">
        <v>72</v>
      </c>
      <c r="GR2" s="8" t="s">
        <v>68</v>
      </c>
      <c r="GS2" s="8" t="s">
        <v>69</v>
      </c>
      <c r="GT2" s="8" t="s">
        <v>70</v>
      </c>
      <c r="GU2" s="8" t="s">
        <v>71</v>
      </c>
      <c r="GV2" s="8" t="s">
        <v>72</v>
      </c>
      <c r="GW2" s="8" t="s">
        <v>68</v>
      </c>
      <c r="GX2" s="8" t="s">
        <v>69</v>
      </c>
      <c r="GY2" s="8" t="s">
        <v>70</v>
      </c>
      <c r="GZ2" s="8" t="s">
        <v>71</v>
      </c>
      <c r="HA2" s="8" t="s">
        <v>72</v>
      </c>
    </row>
    <row r="3" spans="2:209" x14ac:dyDescent="0.2">
      <c r="B3" s="1" t="s">
        <v>17</v>
      </c>
      <c r="C3" s="1">
        <v>4</v>
      </c>
      <c r="D3" s="1">
        <f>SUM(E3:HA3)</f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>
        <v>2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>
        <v>2</v>
      </c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</row>
    <row r="4" spans="2:209" x14ac:dyDescent="0.2">
      <c r="B4" s="1" t="s">
        <v>18</v>
      </c>
      <c r="C4" s="1">
        <v>3</v>
      </c>
      <c r="D4" s="1">
        <f t="shared" ref="D4:D30" si="0">SUM(E4:HA4)</f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>
        <v>1</v>
      </c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>
        <v>1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>
        <v>1</v>
      </c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</row>
    <row r="5" spans="2:209" x14ac:dyDescent="0.2">
      <c r="B5" s="1" t="s">
        <v>19</v>
      </c>
      <c r="C5" s="1">
        <v>7</v>
      </c>
      <c r="D5" s="1">
        <f t="shared" si="0"/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>
        <v>1</v>
      </c>
      <c r="CR5" s="1"/>
      <c r="CS5" s="1"/>
      <c r="CT5" s="1"/>
      <c r="CU5" s="1"/>
      <c r="CV5" s="1">
        <v>2</v>
      </c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>
        <v>1</v>
      </c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>
        <v>1</v>
      </c>
      <c r="FY5" s="1"/>
      <c r="FZ5" s="1"/>
      <c r="GA5" s="1"/>
      <c r="GB5" s="1"/>
      <c r="GC5" s="1">
        <v>2</v>
      </c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</row>
    <row r="6" spans="2:209" x14ac:dyDescent="0.2">
      <c r="B6" s="1" t="s">
        <v>20</v>
      </c>
      <c r="C6" s="1">
        <v>25</v>
      </c>
      <c r="D6" s="1">
        <f t="shared" si="0"/>
        <v>25</v>
      </c>
      <c r="E6" s="1">
        <v>1</v>
      </c>
      <c r="F6" s="1"/>
      <c r="G6" s="1"/>
      <c r="H6" s="1"/>
      <c r="I6" s="1"/>
      <c r="J6" s="1">
        <v>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3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>
        <v>3</v>
      </c>
      <c r="BN6" s="1"/>
      <c r="BO6" s="1"/>
      <c r="BP6" s="1"/>
      <c r="BQ6" s="1"/>
      <c r="BR6" s="1"/>
      <c r="BS6" s="1"/>
      <c r="BT6" s="1"/>
      <c r="BU6" s="1"/>
      <c r="BV6" s="1"/>
      <c r="BW6" s="1">
        <v>2</v>
      </c>
      <c r="BX6" s="1"/>
      <c r="BY6" s="1"/>
      <c r="BZ6" s="1"/>
      <c r="CA6" s="1"/>
      <c r="CB6" s="1"/>
      <c r="CC6" s="1"/>
      <c r="CD6" s="1"/>
      <c r="CE6" s="1"/>
      <c r="CF6" s="1"/>
      <c r="CG6" s="1">
        <v>2</v>
      </c>
      <c r="CH6" s="1"/>
      <c r="CI6" s="1"/>
      <c r="CJ6" s="1"/>
      <c r="CK6" s="1"/>
      <c r="CL6" s="1">
        <v>2</v>
      </c>
      <c r="CM6" s="1"/>
      <c r="CN6" s="1"/>
      <c r="CO6" s="1"/>
      <c r="CP6" s="1"/>
      <c r="CQ6" s="1">
        <v>1</v>
      </c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>
        <v>1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>
        <v>1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>
        <v>1</v>
      </c>
      <c r="FY6" s="1"/>
      <c r="FZ6" s="1"/>
      <c r="GA6" s="1"/>
      <c r="GB6" s="1"/>
      <c r="GC6" s="1"/>
      <c r="GD6" s="1"/>
      <c r="GE6" s="1"/>
      <c r="GF6" s="1"/>
      <c r="GG6" s="1"/>
      <c r="GH6" s="1">
        <v>1</v>
      </c>
      <c r="GI6" s="1"/>
      <c r="GJ6" s="1"/>
      <c r="GK6" s="1"/>
      <c r="GL6" s="1"/>
      <c r="GM6" s="1">
        <v>2</v>
      </c>
      <c r="GN6" s="1"/>
      <c r="GO6" s="1"/>
      <c r="GP6" s="1"/>
      <c r="GQ6" s="1"/>
      <c r="GR6" s="1">
        <v>2</v>
      </c>
      <c r="GS6" s="1"/>
      <c r="GT6" s="1"/>
      <c r="GU6" s="1"/>
      <c r="GV6" s="1"/>
      <c r="GW6" s="1">
        <v>2</v>
      </c>
      <c r="GX6" s="1"/>
      <c r="GY6" s="1"/>
      <c r="GZ6" s="1"/>
      <c r="HA6" s="1"/>
    </row>
    <row r="7" spans="2:209" x14ac:dyDescent="0.2">
      <c r="B7" s="1" t="s">
        <v>21</v>
      </c>
      <c r="C7" s="1">
        <v>4</v>
      </c>
      <c r="D7" s="1">
        <f t="shared" si="0"/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>
        <v>2</v>
      </c>
      <c r="DB7" s="1"/>
      <c r="DC7" s="1"/>
      <c r="DD7" s="1"/>
      <c r="DE7" s="1"/>
      <c r="DF7" s="1">
        <v>2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</row>
    <row r="8" spans="2:209" x14ac:dyDescent="0.2">
      <c r="B8" s="1" t="s">
        <v>22</v>
      </c>
      <c r="C8" s="1">
        <v>4</v>
      </c>
      <c r="D8" s="1">
        <f t="shared" si="0"/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>
        <v>2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>
        <v>2</v>
      </c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</row>
    <row r="9" spans="2:209" x14ac:dyDescent="0.2">
      <c r="B9" s="1" t="s">
        <v>23</v>
      </c>
      <c r="C9" s="1">
        <v>4</v>
      </c>
      <c r="D9" s="1">
        <f t="shared" si="0"/>
        <v>4</v>
      </c>
      <c r="E9" s="1"/>
      <c r="F9" s="1"/>
      <c r="G9" s="1"/>
      <c r="H9" s="1"/>
      <c r="I9" s="1"/>
      <c r="J9" s="1"/>
      <c r="K9" s="1"/>
      <c r="L9" s="1"/>
      <c r="M9" s="1"/>
      <c r="N9" s="1"/>
      <c r="O9" s="1">
        <v>2</v>
      </c>
      <c r="P9" s="1"/>
      <c r="Q9" s="1"/>
      <c r="R9" s="1"/>
      <c r="S9" s="1"/>
      <c r="T9" s="1">
        <v>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</row>
    <row r="10" spans="2:209" x14ac:dyDescent="0.2">
      <c r="B10" s="1" t="s">
        <v>24</v>
      </c>
      <c r="C10" s="1">
        <v>2</v>
      </c>
      <c r="D10" s="1">
        <f t="shared" si="0"/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>
        <v>2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</row>
    <row r="11" spans="2:209" x14ac:dyDescent="0.2">
      <c r="B11" s="9" t="s">
        <v>25</v>
      </c>
      <c r="C11" s="1">
        <v>2</v>
      </c>
      <c r="D11" s="1">
        <f t="shared" si="0"/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>
        <v>1</v>
      </c>
      <c r="CS11" s="1">
        <v>1</v>
      </c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</row>
    <row r="12" spans="2:209" x14ac:dyDescent="0.2">
      <c r="B12" s="9" t="s">
        <v>26</v>
      </c>
      <c r="C12" s="1">
        <v>60</v>
      </c>
      <c r="D12" s="1">
        <f t="shared" si="0"/>
        <v>60</v>
      </c>
      <c r="E12" s="1"/>
      <c r="F12" s="1">
        <v>1</v>
      </c>
      <c r="G12" s="1">
        <v>1</v>
      </c>
      <c r="H12" s="1"/>
      <c r="I12" s="1"/>
      <c r="J12" s="1"/>
      <c r="K12" s="1">
        <v>1</v>
      </c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>
        <v>3</v>
      </c>
      <c r="AA12" s="1">
        <v>3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>
        <v>3</v>
      </c>
      <c r="BO12" s="1">
        <v>3</v>
      </c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>
        <v>2</v>
      </c>
      <c r="CI12" s="1">
        <v>2</v>
      </c>
      <c r="CJ12" s="1"/>
      <c r="CK12" s="1"/>
      <c r="CL12" s="1"/>
      <c r="CM12" s="1">
        <v>2</v>
      </c>
      <c r="CN12" s="1">
        <v>2</v>
      </c>
      <c r="CO12" s="1"/>
      <c r="CP12" s="1"/>
      <c r="CQ12" s="1"/>
      <c r="CR12" s="1">
        <v>1</v>
      </c>
      <c r="CS12" s="1">
        <v>1</v>
      </c>
      <c r="CT12" s="1"/>
      <c r="CU12" s="1"/>
      <c r="CV12" s="1"/>
      <c r="CW12" s="1">
        <v>2</v>
      </c>
      <c r="CX12" s="1">
        <v>2</v>
      </c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>
        <v>2</v>
      </c>
      <c r="DW12" s="1">
        <v>2</v>
      </c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>
        <v>2</v>
      </c>
      <c r="EQ12" s="1">
        <v>2</v>
      </c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>
        <v>1</v>
      </c>
      <c r="FK12" s="1">
        <v>1</v>
      </c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>
        <v>2</v>
      </c>
      <c r="FZ12" s="1">
        <v>2</v>
      </c>
      <c r="GA12" s="1"/>
      <c r="GB12" s="1"/>
      <c r="GC12" s="1"/>
      <c r="GD12" s="1"/>
      <c r="GE12" s="1"/>
      <c r="GF12" s="1"/>
      <c r="GG12" s="1"/>
      <c r="GH12" s="1"/>
      <c r="GI12" s="1">
        <v>2</v>
      </c>
      <c r="GJ12" s="1">
        <v>2</v>
      </c>
      <c r="GK12" s="1"/>
      <c r="GL12" s="1"/>
      <c r="GM12" s="1"/>
      <c r="GN12" s="1">
        <v>2</v>
      </c>
      <c r="GO12" s="1">
        <v>2</v>
      </c>
      <c r="GP12" s="1"/>
      <c r="GQ12" s="1"/>
      <c r="GR12" s="1"/>
      <c r="GS12" s="1">
        <v>2</v>
      </c>
      <c r="GT12" s="1">
        <v>2</v>
      </c>
      <c r="GU12" s="1"/>
      <c r="GV12" s="1"/>
      <c r="GW12" s="1"/>
      <c r="GX12" s="1">
        <v>2</v>
      </c>
      <c r="GY12" s="1">
        <v>2</v>
      </c>
      <c r="GZ12" s="1"/>
      <c r="HA12" s="1"/>
    </row>
    <row r="13" spans="2:209" x14ac:dyDescent="0.2">
      <c r="B13" s="9" t="s">
        <v>27</v>
      </c>
      <c r="C13" s="1">
        <v>16</v>
      </c>
      <c r="D13" s="1">
        <f t="shared" si="0"/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>
        <v>2</v>
      </c>
      <c r="AU13" s="1">
        <v>2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>
        <v>2</v>
      </c>
      <c r="BY13" s="1">
        <v>2</v>
      </c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>
        <v>2</v>
      </c>
      <c r="DC13" s="1">
        <v>2</v>
      </c>
      <c r="DD13" s="1"/>
      <c r="DE13" s="1"/>
      <c r="DF13" s="1"/>
      <c r="DG13" s="1">
        <v>2</v>
      </c>
      <c r="DH13" s="1">
        <v>2</v>
      </c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</row>
    <row r="14" spans="2:209" x14ac:dyDescent="0.2">
      <c r="B14" s="9" t="s">
        <v>28</v>
      </c>
      <c r="C14" s="1">
        <v>16</v>
      </c>
      <c r="D14" s="1">
        <f t="shared" si="0"/>
        <v>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>
        <v>2</v>
      </c>
      <c r="BT14" s="1">
        <v>2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>
        <v>2</v>
      </c>
      <c r="FP14" s="1">
        <v>2</v>
      </c>
      <c r="FQ14" s="1"/>
      <c r="FR14" s="1"/>
      <c r="FS14" s="1"/>
      <c r="FT14" s="1">
        <v>2</v>
      </c>
      <c r="FU14" s="1">
        <v>2</v>
      </c>
      <c r="FV14" s="1"/>
      <c r="FW14" s="1"/>
      <c r="FX14" s="1"/>
      <c r="FY14" s="1"/>
      <c r="FZ14" s="1"/>
      <c r="GA14" s="1"/>
      <c r="GB14" s="1"/>
      <c r="GC14" s="1"/>
      <c r="GD14" s="1">
        <v>2</v>
      </c>
      <c r="GE14" s="1">
        <v>2</v>
      </c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</row>
    <row r="15" spans="2:209" x14ac:dyDescent="0.2">
      <c r="B15" s="9" t="s">
        <v>29</v>
      </c>
      <c r="C15" s="1">
        <v>12</v>
      </c>
      <c r="D15" s="1">
        <f t="shared" si="0"/>
        <v>12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2</v>
      </c>
      <c r="Q15" s="1">
        <v>2</v>
      </c>
      <c r="R15" s="1"/>
      <c r="S15" s="1"/>
      <c r="T15" s="1"/>
      <c r="U15" s="1">
        <v>2</v>
      </c>
      <c r="V15" s="1">
        <v>2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>
        <v>2</v>
      </c>
      <c r="AZ15" s="1">
        <v>2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</row>
    <row r="16" spans="2:209" x14ac:dyDescent="0.2">
      <c r="B16" s="1" t="s">
        <v>30</v>
      </c>
      <c r="C16" s="1">
        <v>1</v>
      </c>
      <c r="D16" s="1">
        <f t="shared" si="0"/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>
        <v>1</v>
      </c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</row>
    <row r="17" spans="2:209" x14ac:dyDescent="0.2">
      <c r="B17" s="1" t="s">
        <v>31</v>
      </c>
      <c r="C17" s="1">
        <v>49</v>
      </c>
      <c r="D17" s="1">
        <f t="shared" si="0"/>
        <v>49</v>
      </c>
      <c r="E17" s="1"/>
      <c r="F17" s="1"/>
      <c r="G17" s="1"/>
      <c r="H17" s="1">
        <v>1</v>
      </c>
      <c r="I17" s="1">
        <v>1</v>
      </c>
      <c r="J17" s="1"/>
      <c r="K17" s="1"/>
      <c r="L17" s="1"/>
      <c r="M17" s="1">
        <v>1</v>
      </c>
      <c r="N17" s="1"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3</v>
      </c>
      <c r="AC17" s="1">
        <v>3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>
        <v>3</v>
      </c>
      <c r="BQ17" s="1">
        <v>3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>
        <v>2</v>
      </c>
      <c r="CK17" s="1">
        <v>2</v>
      </c>
      <c r="CL17" s="1"/>
      <c r="CM17" s="1"/>
      <c r="CN17" s="1"/>
      <c r="CO17" s="1">
        <v>2</v>
      </c>
      <c r="CP17" s="1">
        <v>2</v>
      </c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>
        <v>2</v>
      </c>
      <c r="DF17" s="1"/>
      <c r="DG17" s="1"/>
      <c r="DH17" s="1"/>
      <c r="DI17" s="1"/>
      <c r="DJ17" s="1">
        <v>2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>
        <v>2</v>
      </c>
      <c r="DY17" s="1">
        <v>2</v>
      </c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>
        <v>2</v>
      </c>
      <c r="ES17" s="1">
        <v>2</v>
      </c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>
        <v>1</v>
      </c>
      <c r="FM17" s="1">
        <v>1</v>
      </c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>
        <v>2</v>
      </c>
      <c r="GB17" s="1">
        <v>1</v>
      </c>
      <c r="GC17" s="1"/>
      <c r="GD17" s="1"/>
      <c r="GE17" s="1"/>
      <c r="GF17" s="1"/>
      <c r="GG17" s="1"/>
      <c r="GH17" s="1"/>
      <c r="GI17" s="1"/>
      <c r="GJ17" s="1"/>
      <c r="GK17" s="1">
        <v>2</v>
      </c>
      <c r="GL17" s="1">
        <v>2</v>
      </c>
      <c r="GM17" s="1"/>
      <c r="GN17" s="1"/>
      <c r="GO17" s="1"/>
      <c r="GP17" s="1"/>
      <c r="GQ17" s="1"/>
      <c r="GR17" s="1"/>
      <c r="GS17" s="1"/>
      <c r="GT17" s="1"/>
      <c r="GU17" s="1">
        <v>2</v>
      </c>
      <c r="GV17" s="1">
        <v>2</v>
      </c>
      <c r="GW17" s="1"/>
      <c r="GX17" s="1"/>
      <c r="GY17" s="1"/>
      <c r="GZ17" s="1"/>
      <c r="HA17" s="1"/>
    </row>
    <row r="18" spans="2:209" x14ac:dyDescent="0.2">
      <c r="B18" s="1" t="s">
        <v>32</v>
      </c>
      <c r="C18" s="1">
        <v>12</v>
      </c>
      <c r="D18" s="1">
        <f t="shared" si="0"/>
        <v>12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>
        <v>2</v>
      </c>
      <c r="AW18" s="1">
        <v>2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>
        <v>2</v>
      </c>
      <c r="CA18" s="1">
        <v>2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>
        <v>2</v>
      </c>
      <c r="DE18" s="1"/>
      <c r="DF18" s="1"/>
      <c r="DG18" s="1"/>
      <c r="DH18" s="1"/>
      <c r="DI18" s="1">
        <v>2</v>
      </c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</row>
    <row r="19" spans="2:209" x14ac:dyDescent="0.2">
      <c r="B19" s="1" t="s">
        <v>33</v>
      </c>
      <c r="C19" s="1">
        <v>8</v>
      </c>
      <c r="D19" s="1">
        <f t="shared" si="0"/>
        <v>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>
        <v>2</v>
      </c>
      <c r="FW19" s="1">
        <v>2</v>
      </c>
      <c r="FX19" s="1"/>
      <c r="FY19" s="1"/>
      <c r="FZ19" s="1"/>
      <c r="GA19" s="1"/>
      <c r="GB19" s="1"/>
      <c r="GC19" s="1"/>
      <c r="GD19" s="1"/>
      <c r="GE19" s="1"/>
      <c r="GF19" s="1">
        <v>2</v>
      </c>
      <c r="GG19" s="1">
        <v>2</v>
      </c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</row>
    <row r="20" spans="2:209" x14ac:dyDescent="0.2">
      <c r="B20" s="1" t="s">
        <v>34</v>
      </c>
      <c r="C20" s="1">
        <v>6</v>
      </c>
      <c r="D20" s="1">
        <f t="shared" si="0"/>
        <v>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>
        <v>2</v>
      </c>
      <c r="T20" s="1"/>
      <c r="U20" s="1"/>
      <c r="V20" s="1"/>
      <c r="W20" s="1"/>
      <c r="X20" s="1">
        <v>2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>
        <v>2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</row>
    <row r="21" spans="2:209" x14ac:dyDescent="0.2">
      <c r="B21" s="1" t="s">
        <v>35</v>
      </c>
      <c r="C21" s="1">
        <v>6</v>
      </c>
      <c r="D21" s="1">
        <f t="shared" si="0"/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2</v>
      </c>
      <c r="S21" s="1"/>
      <c r="T21" s="1"/>
      <c r="U21" s="1"/>
      <c r="V21" s="1"/>
      <c r="W21" s="1">
        <v>2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>
        <v>2</v>
      </c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</row>
    <row r="22" spans="2:209" x14ac:dyDescent="0.2">
      <c r="B22" s="1" t="s">
        <v>36</v>
      </c>
      <c r="C22" s="1">
        <v>5</v>
      </c>
      <c r="D22" s="1">
        <f t="shared" si="0"/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>
        <v>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>
        <v>1</v>
      </c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>
        <v>2</v>
      </c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</row>
    <row r="23" spans="2:209" x14ac:dyDescent="0.2">
      <c r="B23" s="1" t="s">
        <v>37</v>
      </c>
      <c r="C23" s="1">
        <v>10</v>
      </c>
      <c r="D23" s="1">
        <f t="shared" si="0"/>
        <v>10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>
        <v>1</v>
      </c>
      <c r="DL23" s="1"/>
      <c r="DM23" s="1"/>
      <c r="DN23" s="1"/>
      <c r="DO23" s="1"/>
      <c r="DP23" s="1">
        <v>1</v>
      </c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>
        <v>2</v>
      </c>
      <c r="EF23" s="1"/>
      <c r="EG23" s="1"/>
      <c r="EH23" s="1"/>
      <c r="EI23" s="1"/>
      <c r="EJ23" s="1">
        <v>2</v>
      </c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>
        <v>2</v>
      </c>
      <c r="EZ23" s="1"/>
      <c r="FA23" s="1"/>
      <c r="FB23" s="1"/>
      <c r="FC23" s="1"/>
      <c r="FD23" s="1">
        <v>2</v>
      </c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</row>
    <row r="24" spans="2:209" x14ac:dyDescent="0.2">
      <c r="B24" s="1" t="s">
        <v>38</v>
      </c>
      <c r="C24" s="1">
        <v>1</v>
      </c>
      <c r="D24" s="1">
        <f t="shared" si="0"/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>
        <v>1</v>
      </c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</row>
    <row r="25" spans="2:209" x14ac:dyDescent="0.2">
      <c r="B25" s="1" t="s">
        <v>39</v>
      </c>
      <c r="C25" s="1">
        <v>10</v>
      </c>
      <c r="D25" s="1">
        <f t="shared" si="0"/>
        <v>10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>
        <v>2</v>
      </c>
      <c r="AE25" s="1"/>
      <c r="AF25" s="1"/>
      <c r="AG25" s="1"/>
      <c r="AH25" s="1"/>
      <c r="AI25" s="1">
        <v>2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>
        <v>2</v>
      </c>
      <c r="BD25" s="1"/>
      <c r="BE25" s="1"/>
      <c r="BF25" s="1"/>
      <c r="BG25" s="1"/>
      <c r="BH25" s="1">
        <v>2</v>
      </c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>
        <v>2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</row>
    <row r="26" spans="2:209" x14ac:dyDescent="0.2">
      <c r="B26" s="1" t="s">
        <v>40</v>
      </c>
      <c r="C26" s="1">
        <v>1</v>
      </c>
      <c r="D26" s="1">
        <f t="shared" si="0"/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>
        <v>1</v>
      </c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</row>
    <row r="27" spans="2:209" x14ac:dyDescent="0.2">
      <c r="B27" s="1" t="s">
        <v>41</v>
      </c>
      <c r="C27" s="1">
        <v>5</v>
      </c>
      <c r="D27" s="1">
        <f t="shared" si="0"/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>
        <v>1</v>
      </c>
      <c r="CU27" s="1">
        <v>1</v>
      </c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>
        <v>1</v>
      </c>
      <c r="EB27" s="1">
        <v>1</v>
      </c>
      <c r="EC27" s="1">
        <v>1</v>
      </c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</row>
    <row r="28" spans="2:209" x14ac:dyDescent="0.2">
      <c r="B28" s="1" t="s">
        <v>42</v>
      </c>
      <c r="C28" s="1">
        <v>7</v>
      </c>
      <c r="D28" s="1">
        <f t="shared" si="0"/>
        <v>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>
        <v>1</v>
      </c>
      <c r="DP28" s="1"/>
      <c r="DQ28" s="1"/>
      <c r="DR28" s="1"/>
      <c r="DS28" s="1"/>
      <c r="DT28" s="1">
        <v>1</v>
      </c>
      <c r="DU28" s="1"/>
      <c r="DV28" s="1"/>
      <c r="DW28" s="1"/>
      <c r="DX28" s="1"/>
      <c r="DY28" s="1"/>
      <c r="DZ28" s="1"/>
      <c r="EA28" s="1"/>
      <c r="EB28" s="1"/>
      <c r="EC28" s="1"/>
      <c r="ED28" s="1">
        <v>1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>
        <v>2</v>
      </c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>
        <v>2</v>
      </c>
      <c r="GR28" s="1"/>
      <c r="GS28" s="1"/>
      <c r="GT28" s="1"/>
      <c r="GU28" s="1"/>
      <c r="GV28" s="1"/>
      <c r="GW28" s="1"/>
      <c r="GX28" s="1"/>
      <c r="GY28" s="1"/>
      <c r="GZ28" s="1"/>
      <c r="HA28" s="1"/>
    </row>
    <row r="29" spans="2:209" x14ac:dyDescent="0.2">
      <c r="B29" s="1" t="s">
        <v>43</v>
      </c>
      <c r="C29" s="1">
        <v>59</v>
      </c>
      <c r="D29" s="1">
        <f t="shared" si="0"/>
        <v>59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>
        <v>1</v>
      </c>
      <c r="CU29" s="1">
        <v>1</v>
      </c>
      <c r="CV29" s="1"/>
      <c r="CW29" s="1"/>
      <c r="CX29" s="1"/>
      <c r="CY29" s="1">
        <v>2</v>
      </c>
      <c r="CZ29" s="1">
        <v>2</v>
      </c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>
        <v>1</v>
      </c>
      <c r="DM29" s="1">
        <v>1</v>
      </c>
      <c r="DN29" s="1">
        <v>1</v>
      </c>
      <c r="DO29" s="1"/>
      <c r="DP29" s="1"/>
      <c r="DQ29" s="1">
        <v>1</v>
      </c>
      <c r="DR29" s="1">
        <v>1</v>
      </c>
      <c r="DS29" s="1">
        <v>1</v>
      </c>
      <c r="DT29" s="1"/>
      <c r="DU29" s="1"/>
      <c r="DV29" s="1"/>
      <c r="DW29" s="1"/>
      <c r="DX29" s="1"/>
      <c r="DY29" s="1"/>
      <c r="DZ29" s="1"/>
      <c r="EA29" s="1">
        <v>1</v>
      </c>
      <c r="EB29" s="1">
        <v>1</v>
      </c>
      <c r="EC29" s="1">
        <v>1</v>
      </c>
      <c r="ED29" s="1"/>
      <c r="EE29" s="1"/>
      <c r="EF29" s="1">
        <v>2</v>
      </c>
      <c r="EG29" s="1">
        <v>2</v>
      </c>
      <c r="EH29" s="1">
        <v>2</v>
      </c>
      <c r="EI29" s="1">
        <v>2</v>
      </c>
      <c r="EJ29" s="1"/>
      <c r="EK29" s="1">
        <v>2</v>
      </c>
      <c r="EL29" s="1">
        <v>2</v>
      </c>
      <c r="EM29" s="1">
        <v>2</v>
      </c>
      <c r="EN29" s="1">
        <v>2</v>
      </c>
      <c r="EO29" s="1"/>
      <c r="EP29" s="1"/>
      <c r="EQ29" s="1"/>
      <c r="ER29" s="1"/>
      <c r="ES29" s="1"/>
      <c r="ET29" s="1"/>
      <c r="EU29" s="1">
        <v>2</v>
      </c>
      <c r="EV29" s="1">
        <v>2</v>
      </c>
      <c r="EW29" s="1">
        <v>2</v>
      </c>
      <c r="EX29" s="1">
        <v>2</v>
      </c>
      <c r="EY29" s="1"/>
      <c r="EZ29" s="1">
        <v>2</v>
      </c>
      <c r="FA29" s="1">
        <v>2</v>
      </c>
      <c r="FB29" s="1">
        <v>2</v>
      </c>
      <c r="FC29" s="1">
        <v>2</v>
      </c>
      <c r="FD29" s="1"/>
      <c r="FE29" s="1">
        <v>2</v>
      </c>
      <c r="FF29" s="1">
        <v>2</v>
      </c>
      <c r="FG29" s="1">
        <v>2</v>
      </c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>
        <v>2</v>
      </c>
      <c r="GQ29" s="1"/>
      <c r="GR29" s="1"/>
      <c r="GS29" s="1"/>
      <c r="GT29" s="1"/>
      <c r="GU29" s="1"/>
      <c r="GV29" s="1"/>
      <c r="GW29" s="1"/>
      <c r="GX29" s="1"/>
      <c r="GY29" s="1"/>
      <c r="GZ29" s="1">
        <v>2</v>
      </c>
      <c r="HA29" s="1">
        <v>2</v>
      </c>
    </row>
    <row r="30" spans="2:209" x14ac:dyDescent="0.2">
      <c r="B30" s="1" t="s">
        <v>44</v>
      </c>
      <c r="C30" s="1">
        <v>56</v>
      </c>
      <c r="D30" s="1">
        <f t="shared" si="0"/>
        <v>56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2</v>
      </c>
      <c r="AF30" s="1">
        <v>2</v>
      </c>
      <c r="AG30" s="1">
        <v>2</v>
      </c>
      <c r="AH30" s="1">
        <v>2</v>
      </c>
      <c r="AI30" s="1"/>
      <c r="AJ30" s="1">
        <v>2</v>
      </c>
      <c r="AK30" s="1">
        <v>2</v>
      </c>
      <c r="AL30" s="1">
        <v>2</v>
      </c>
      <c r="AM30" s="1">
        <v>2</v>
      </c>
      <c r="AN30" s="1"/>
      <c r="AO30" s="1">
        <v>2</v>
      </c>
      <c r="AP30" s="1">
        <v>2</v>
      </c>
      <c r="AQ30" s="1">
        <v>2</v>
      </c>
      <c r="AR30" s="1">
        <v>2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>
        <v>2</v>
      </c>
      <c r="BE30" s="1">
        <v>2</v>
      </c>
      <c r="BF30" s="1">
        <v>2</v>
      </c>
      <c r="BG30" s="1">
        <v>2</v>
      </c>
      <c r="BH30" s="1"/>
      <c r="BI30" s="1">
        <v>2</v>
      </c>
      <c r="BJ30" s="1">
        <v>2</v>
      </c>
      <c r="BK30" s="1">
        <v>2</v>
      </c>
      <c r="BL30" s="1">
        <v>2</v>
      </c>
      <c r="BM30" s="1"/>
      <c r="BN30" s="1"/>
      <c r="BO30" s="1"/>
      <c r="BP30" s="1"/>
      <c r="BQ30" s="1"/>
      <c r="BR30" s="1"/>
      <c r="BS30" s="1"/>
      <c r="BT30" s="1"/>
      <c r="BU30" s="1">
        <v>2</v>
      </c>
      <c r="BV30" s="1">
        <v>2</v>
      </c>
      <c r="BW30" s="1"/>
      <c r="BX30" s="1"/>
      <c r="BY30" s="1"/>
      <c r="BZ30" s="1"/>
      <c r="CA30" s="1"/>
      <c r="CB30" s="1"/>
      <c r="CC30" s="1">
        <v>2</v>
      </c>
      <c r="CD30" s="1">
        <v>2</v>
      </c>
      <c r="CE30" s="1">
        <v>2</v>
      </c>
      <c r="CF30" s="1">
        <v>2</v>
      </c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>
        <v>2</v>
      </c>
      <c r="FR30" s="1">
        <v>2</v>
      </c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</row>
  </sheetData>
  <mergeCells count="41">
    <mergeCell ref="GC1:GG1"/>
    <mergeCell ref="GH1:GL1"/>
    <mergeCell ref="GM1:GQ1"/>
    <mergeCell ref="GR1:GV1"/>
    <mergeCell ref="GW1:HA1"/>
    <mergeCell ref="FX1:GB1"/>
    <mergeCell ref="DU1:DY1"/>
    <mergeCell ref="DZ1:ED1"/>
    <mergeCell ref="EE1:EI1"/>
    <mergeCell ref="EJ1:EN1"/>
    <mergeCell ref="EO1:ES1"/>
    <mergeCell ref="ET1:EX1"/>
    <mergeCell ref="EY1:FC1"/>
    <mergeCell ref="FD1:FH1"/>
    <mergeCell ref="FI1:FM1"/>
    <mergeCell ref="FN1:FR1"/>
    <mergeCell ref="FS1:FW1"/>
    <mergeCell ref="DP1:DT1"/>
    <mergeCell ref="BM1:BQ1"/>
    <mergeCell ref="BR1:BV1"/>
    <mergeCell ref="BW1:CA1"/>
    <mergeCell ref="CB1:CF1"/>
    <mergeCell ref="CG1:CK1"/>
    <mergeCell ref="CL1:CP1"/>
    <mergeCell ref="CQ1:CU1"/>
    <mergeCell ref="CV1:CZ1"/>
    <mergeCell ref="DA1:DE1"/>
    <mergeCell ref="DF1:DJ1"/>
    <mergeCell ref="DK1:DO1"/>
    <mergeCell ref="BH1:BL1"/>
    <mergeCell ref="E1:I1"/>
    <mergeCell ref="J1:N1"/>
    <mergeCell ref="O1:S1"/>
    <mergeCell ref="T1:X1"/>
    <mergeCell ref="Y1:AC1"/>
    <mergeCell ref="AD1:AH1"/>
    <mergeCell ref="AI1:AM1"/>
    <mergeCell ref="AN1:AR1"/>
    <mergeCell ref="AS1:AW1"/>
    <mergeCell ref="AX1:BB1"/>
    <mergeCell ref="BC1:BG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0A79-9166-4E7B-AEBB-3989D151DECC}">
  <dimension ref="B1:HG31"/>
  <sheetViews>
    <sheetView tabSelected="1" topLeftCell="B1" workbookViewId="0">
      <selection activeCell="HJ9" sqref="HJ9"/>
    </sheetView>
  </sheetViews>
  <sheetFormatPr defaultRowHeight="18" customHeight="1" x14ac:dyDescent="0.2"/>
  <cols>
    <col min="1" max="1" width="0" style="21" hidden="1" customWidth="1"/>
    <col min="2" max="2" width="15.125" style="21" bestFit="1" customWidth="1"/>
    <col min="3" max="4" width="3.5" style="21" bestFit="1" customWidth="1"/>
    <col min="5" max="9" width="5.25" style="21" bestFit="1" customWidth="1"/>
    <col min="10" max="10" width="3.5" style="21" bestFit="1" customWidth="1"/>
    <col min="11" max="215" width="5.25" style="21" hidden="1" customWidth="1"/>
    <col min="216" max="16384" width="9" style="21"/>
  </cols>
  <sheetData>
    <row r="1" spans="2:215" ht="18" customHeight="1" x14ac:dyDescent="0.2">
      <c r="B1" s="38" t="s">
        <v>73</v>
      </c>
      <c r="C1" s="39"/>
      <c r="D1" s="39"/>
      <c r="E1" s="39"/>
      <c r="F1" s="39"/>
      <c r="G1" s="39"/>
      <c r="H1" s="39"/>
      <c r="I1" s="39"/>
      <c r="J1" s="39"/>
    </row>
    <row r="2" spans="2:215" ht="18" customHeight="1" x14ac:dyDescent="0.2">
      <c r="E2" s="36" t="s">
        <v>68</v>
      </c>
      <c r="F2" s="36" t="s">
        <v>69</v>
      </c>
      <c r="G2" s="36" t="s">
        <v>70</v>
      </c>
      <c r="H2" s="36" t="s">
        <v>71</v>
      </c>
      <c r="I2" s="36" t="s">
        <v>72</v>
      </c>
      <c r="J2" s="1"/>
      <c r="K2" s="23">
        <v>1</v>
      </c>
      <c r="L2" s="23"/>
      <c r="M2" s="23"/>
      <c r="N2" s="23"/>
      <c r="O2" s="23"/>
      <c r="P2" s="23">
        <v>2</v>
      </c>
      <c r="Q2" s="23"/>
      <c r="R2" s="23"/>
      <c r="S2" s="23"/>
      <c r="T2" s="23"/>
      <c r="U2" s="23">
        <v>3</v>
      </c>
      <c r="V2" s="23"/>
      <c r="W2" s="23"/>
      <c r="X2" s="23"/>
      <c r="Y2" s="23"/>
      <c r="Z2" s="23">
        <v>4</v>
      </c>
      <c r="AA2" s="23"/>
      <c r="AB2" s="23"/>
      <c r="AC2" s="23"/>
      <c r="AD2" s="23"/>
      <c r="AE2" s="33">
        <v>5</v>
      </c>
      <c r="AF2" s="34"/>
      <c r="AG2" s="34"/>
      <c r="AH2" s="34"/>
      <c r="AI2" s="35"/>
      <c r="AJ2" s="33">
        <v>6</v>
      </c>
      <c r="AK2" s="34"/>
      <c r="AL2" s="34"/>
      <c r="AM2" s="34"/>
      <c r="AN2" s="35"/>
      <c r="AO2" s="33">
        <v>7</v>
      </c>
      <c r="AP2" s="34"/>
      <c r="AQ2" s="34"/>
      <c r="AR2" s="34"/>
      <c r="AS2" s="35"/>
      <c r="AT2" s="33">
        <v>8</v>
      </c>
      <c r="AU2" s="34"/>
      <c r="AV2" s="34"/>
      <c r="AW2" s="34"/>
      <c r="AX2" s="35"/>
      <c r="AY2" s="33">
        <v>9</v>
      </c>
      <c r="AZ2" s="34"/>
      <c r="BA2" s="34"/>
      <c r="BB2" s="34"/>
      <c r="BC2" s="35"/>
      <c r="BD2" s="33">
        <v>10</v>
      </c>
      <c r="BE2" s="34"/>
      <c r="BF2" s="34"/>
      <c r="BG2" s="34"/>
      <c r="BH2" s="35"/>
      <c r="BI2" s="33">
        <v>11</v>
      </c>
      <c r="BJ2" s="34"/>
      <c r="BK2" s="34"/>
      <c r="BL2" s="34"/>
      <c r="BM2" s="35"/>
      <c r="BN2" s="33">
        <v>12</v>
      </c>
      <c r="BO2" s="34"/>
      <c r="BP2" s="34"/>
      <c r="BQ2" s="34"/>
      <c r="BR2" s="35"/>
      <c r="BS2" s="33">
        <v>13</v>
      </c>
      <c r="BT2" s="34"/>
      <c r="BU2" s="34"/>
      <c r="BV2" s="34"/>
      <c r="BW2" s="35"/>
      <c r="BX2" s="33">
        <v>14</v>
      </c>
      <c r="BY2" s="34"/>
      <c r="BZ2" s="34"/>
      <c r="CA2" s="34"/>
      <c r="CB2" s="35"/>
      <c r="CC2" s="33">
        <v>15</v>
      </c>
      <c r="CD2" s="34"/>
      <c r="CE2" s="34"/>
      <c r="CF2" s="34"/>
      <c r="CG2" s="35"/>
      <c r="CH2" s="33">
        <v>16</v>
      </c>
      <c r="CI2" s="34"/>
      <c r="CJ2" s="34"/>
      <c r="CK2" s="34"/>
      <c r="CL2" s="35"/>
      <c r="CM2" s="33">
        <v>17</v>
      </c>
      <c r="CN2" s="34"/>
      <c r="CO2" s="34"/>
      <c r="CP2" s="34"/>
      <c r="CQ2" s="35"/>
      <c r="CR2" s="33">
        <v>18</v>
      </c>
      <c r="CS2" s="34"/>
      <c r="CT2" s="34"/>
      <c r="CU2" s="34"/>
      <c r="CV2" s="35"/>
      <c r="CW2" s="33">
        <v>19</v>
      </c>
      <c r="CX2" s="34"/>
      <c r="CY2" s="34"/>
      <c r="CZ2" s="34"/>
      <c r="DA2" s="35"/>
      <c r="DB2" s="33">
        <v>20</v>
      </c>
      <c r="DC2" s="34"/>
      <c r="DD2" s="34"/>
      <c r="DE2" s="34"/>
      <c r="DF2" s="35"/>
      <c r="DG2" s="33">
        <v>21</v>
      </c>
      <c r="DH2" s="34"/>
      <c r="DI2" s="34"/>
      <c r="DJ2" s="34"/>
      <c r="DK2" s="35"/>
      <c r="DL2" s="33">
        <v>22</v>
      </c>
      <c r="DM2" s="34"/>
      <c r="DN2" s="34"/>
      <c r="DO2" s="34"/>
      <c r="DP2" s="35"/>
      <c r="DQ2" s="33">
        <v>23</v>
      </c>
      <c r="DR2" s="34"/>
      <c r="DS2" s="34"/>
      <c r="DT2" s="34"/>
      <c r="DU2" s="35"/>
      <c r="DV2" s="33">
        <v>24</v>
      </c>
      <c r="DW2" s="34"/>
      <c r="DX2" s="34"/>
      <c r="DY2" s="34"/>
      <c r="DZ2" s="35"/>
      <c r="EA2" s="33">
        <v>25</v>
      </c>
      <c r="EB2" s="34"/>
      <c r="EC2" s="34"/>
      <c r="ED2" s="34"/>
      <c r="EE2" s="35"/>
      <c r="EF2" s="33">
        <v>26</v>
      </c>
      <c r="EG2" s="34"/>
      <c r="EH2" s="34"/>
      <c r="EI2" s="34"/>
      <c r="EJ2" s="35"/>
      <c r="EK2" s="33">
        <v>27</v>
      </c>
      <c r="EL2" s="34"/>
      <c r="EM2" s="34"/>
      <c r="EN2" s="34"/>
      <c r="EO2" s="35"/>
      <c r="EP2" s="33">
        <v>28</v>
      </c>
      <c r="EQ2" s="34"/>
      <c r="ER2" s="34"/>
      <c r="ES2" s="34"/>
      <c r="ET2" s="35"/>
      <c r="EU2" s="33">
        <v>29</v>
      </c>
      <c r="EV2" s="34"/>
      <c r="EW2" s="34"/>
      <c r="EX2" s="34"/>
      <c r="EY2" s="35"/>
      <c r="EZ2" s="33">
        <v>30</v>
      </c>
      <c r="FA2" s="34"/>
      <c r="FB2" s="34"/>
      <c r="FC2" s="34"/>
      <c r="FD2" s="35"/>
      <c r="FE2" s="33">
        <v>31</v>
      </c>
      <c r="FF2" s="34"/>
      <c r="FG2" s="34"/>
      <c r="FH2" s="34"/>
      <c r="FI2" s="35"/>
      <c r="FJ2" s="33">
        <v>32</v>
      </c>
      <c r="FK2" s="34"/>
      <c r="FL2" s="34"/>
      <c r="FM2" s="34"/>
      <c r="FN2" s="35"/>
      <c r="FO2" s="33">
        <v>33</v>
      </c>
      <c r="FP2" s="34"/>
      <c r="FQ2" s="34"/>
      <c r="FR2" s="34"/>
      <c r="FS2" s="35"/>
      <c r="FT2" s="33">
        <v>34</v>
      </c>
      <c r="FU2" s="34"/>
      <c r="FV2" s="34"/>
      <c r="FW2" s="34"/>
      <c r="FX2" s="35"/>
      <c r="FY2" s="33">
        <v>35</v>
      </c>
      <c r="FZ2" s="34"/>
      <c r="GA2" s="34"/>
      <c r="GB2" s="34"/>
      <c r="GC2" s="35"/>
      <c r="GD2" s="33">
        <v>36</v>
      </c>
      <c r="GE2" s="34"/>
      <c r="GF2" s="34"/>
      <c r="GG2" s="34"/>
      <c r="GH2" s="35"/>
      <c r="GI2" s="33">
        <v>37</v>
      </c>
      <c r="GJ2" s="34"/>
      <c r="GK2" s="34"/>
      <c r="GL2" s="34"/>
      <c r="GM2" s="35"/>
      <c r="GN2" s="33">
        <v>38</v>
      </c>
      <c r="GO2" s="34"/>
      <c r="GP2" s="34"/>
      <c r="GQ2" s="34"/>
      <c r="GR2" s="35"/>
      <c r="GS2" s="33">
        <v>39</v>
      </c>
      <c r="GT2" s="34"/>
      <c r="GU2" s="34"/>
      <c r="GV2" s="34"/>
      <c r="GW2" s="35"/>
      <c r="GX2" s="33">
        <v>40</v>
      </c>
      <c r="GY2" s="34"/>
      <c r="GZ2" s="34"/>
      <c r="HA2" s="34"/>
      <c r="HB2" s="35"/>
      <c r="HC2" s="33">
        <v>41</v>
      </c>
      <c r="HD2" s="34"/>
      <c r="HE2" s="34"/>
      <c r="HF2" s="34"/>
      <c r="HG2" s="35"/>
    </row>
    <row r="3" spans="2:215" ht="18" customHeight="1" x14ac:dyDescent="0.2">
      <c r="E3" s="37"/>
      <c r="F3" s="37"/>
      <c r="G3" s="37"/>
      <c r="H3" s="37"/>
      <c r="I3" s="37"/>
      <c r="J3" s="1"/>
      <c r="K3" s="8" t="s">
        <v>68</v>
      </c>
      <c r="L3" s="8" t="s">
        <v>69</v>
      </c>
      <c r="M3" s="8" t="s">
        <v>70</v>
      </c>
      <c r="N3" s="8" t="s">
        <v>71</v>
      </c>
      <c r="O3" s="8" t="s">
        <v>72</v>
      </c>
      <c r="P3" s="8" t="s">
        <v>68</v>
      </c>
      <c r="Q3" s="8" t="s">
        <v>69</v>
      </c>
      <c r="R3" s="8" t="s">
        <v>70</v>
      </c>
      <c r="S3" s="8" t="s">
        <v>71</v>
      </c>
      <c r="T3" s="8" t="s">
        <v>72</v>
      </c>
      <c r="U3" s="8" t="s">
        <v>68</v>
      </c>
      <c r="V3" s="8" t="s">
        <v>69</v>
      </c>
      <c r="W3" s="8" t="s">
        <v>70</v>
      </c>
      <c r="X3" s="8" t="s">
        <v>71</v>
      </c>
      <c r="Y3" s="8" t="s">
        <v>72</v>
      </c>
      <c r="Z3" s="8" t="s">
        <v>68</v>
      </c>
      <c r="AA3" s="8" t="s">
        <v>69</v>
      </c>
      <c r="AB3" s="8" t="s">
        <v>70</v>
      </c>
      <c r="AC3" s="8" t="s">
        <v>71</v>
      </c>
      <c r="AD3" s="8" t="s">
        <v>72</v>
      </c>
      <c r="AE3" s="8" t="s">
        <v>68</v>
      </c>
      <c r="AF3" s="8" t="s">
        <v>69</v>
      </c>
      <c r="AG3" s="8" t="s">
        <v>70</v>
      </c>
      <c r="AH3" s="8" t="s">
        <v>71</v>
      </c>
      <c r="AI3" s="8" t="s">
        <v>72</v>
      </c>
      <c r="AJ3" s="8" t="s">
        <v>68</v>
      </c>
      <c r="AK3" s="8" t="s">
        <v>69</v>
      </c>
      <c r="AL3" s="8" t="s">
        <v>70</v>
      </c>
      <c r="AM3" s="8" t="s">
        <v>71</v>
      </c>
      <c r="AN3" s="8" t="s">
        <v>72</v>
      </c>
      <c r="AO3" s="8" t="s">
        <v>68</v>
      </c>
      <c r="AP3" s="8" t="s">
        <v>69</v>
      </c>
      <c r="AQ3" s="8" t="s">
        <v>70</v>
      </c>
      <c r="AR3" s="8" t="s">
        <v>71</v>
      </c>
      <c r="AS3" s="8" t="s">
        <v>72</v>
      </c>
      <c r="AT3" s="8" t="s">
        <v>68</v>
      </c>
      <c r="AU3" s="8" t="s">
        <v>69</v>
      </c>
      <c r="AV3" s="8" t="s">
        <v>70</v>
      </c>
      <c r="AW3" s="8" t="s">
        <v>71</v>
      </c>
      <c r="AX3" s="8" t="s">
        <v>72</v>
      </c>
      <c r="AY3" s="8" t="s">
        <v>68</v>
      </c>
      <c r="AZ3" s="8" t="s">
        <v>69</v>
      </c>
      <c r="BA3" s="8" t="s">
        <v>70</v>
      </c>
      <c r="BB3" s="8" t="s">
        <v>71</v>
      </c>
      <c r="BC3" s="8" t="s">
        <v>72</v>
      </c>
      <c r="BD3" s="8" t="s">
        <v>68</v>
      </c>
      <c r="BE3" s="8" t="s">
        <v>69</v>
      </c>
      <c r="BF3" s="8" t="s">
        <v>70</v>
      </c>
      <c r="BG3" s="8" t="s">
        <v>71</v>
      </c>
      <c r="BH3" s="8" t="s">
        <v>72</v>
      </c>
      <c r="BI3" s="8" t="s">
        <v>68</v>
      </c>
      <c r="BJ3" s="8" t="s">
        <v>69</v>
      </c>
      <c r="BK3" s="8" t="s">
        <v>70</v>
      </c>
      <c r="BL3" s="8" t="s">
        <v>71</v>
      </c>
      <c r="BM3" s="8" t="s">
        <v>72</v>
      </c>
      <c r="BN3" s="8" t="s">
        <v>68</v>
      </c>
      <c r="BO3" s="8" t="s">
        <v>69</v>
      </c>
      <c r="BP3" s="8" t="s">
        <v>70</v>
      </c>
      <c r="BQ3" s="8" t="s">
        <v>71</v>
      </c>
      <c r="BR3" s="8" t="s">
        <v>72</v>
      </c>
      <c r="BS3" s="8" t="s">
        <v>68</v>
      </c>
      <c r="BT3" s="8" t="s">
        <v>69</v>
      </c>
      <c r="BU3" s="8" t="s">
        <v>70</v>
      </c>
      <c r="BV3" s="8" t="s">
        <v>71</v>
      </c>
      <c r="BW3" s="8" t="s">
        <v>72</v>
      </c>
      <c r="BX3" s="8" t="s">
        <v>68</v>
      </c>
      <c r="BY3" s="8" t="s">
        <v>69</v>
      </c>
      <c r="BZ3" s="8" t="s">
        <v>70</v>
      </c>
      <c r="CA3" s="8" t="s">
        <v>71</v>
      </c>
      <c r="CB3" s="8" t="s">
        <v>72</v>
      </c>
      <c r="CC3" s="8" t="s">
        <v>68</v>
      </c>
      <c r="CD3" s="8" t="s">
        <v>69</v>
      </c>
      <c r="CE3" s="8" t="s">
        <v>70</v>
      </c>
      <c r="CF3" s="8" t="s">
        <v>71</v>
      </c>
      <c r="CG3" s="8" t="s">
        <v>72</v>
      </c>
      <c r="CH3" s="8" t="s">
        <v>68</v>
      </c>
      <c r="CI3" s="8" t="s">
        <v>69</v>
      </c>
      <c r="CJ3" s="8" t="s">
        <v>70</v>
      </c>
      <c r="CK3" s="8" t="s">
        <v>71</v>
      </c>
      <c r="CL3" s="8" t="s">
        <v>72</v>
      </c>
      <c r="CM3" s="8" t="s">
        <v>68</v>
      </c>
      <c r="CN3" s="8" t="s">
        <v>69</v>
      </c>
      <c r="CO3" s="8" t="s">
        <v>70</v>
      </c>
      <c r="CP3" s="8" t="s">
        <v>71</v>
      </c>
      <c r="CQ3" s="8" t="s">
        <v>72</v>
      </c>
      <c r="CR3" s="8" t="s">
        <v>68</v>
      </c>
      <c r="CS3" s="8" t="s">
        <v>69</v>
      </c>
      <c r="CT3" s="8" t="s">
        <v>70</v>
      </c>
      <c r="CU3" s="8" t="s">
        <v>71</v>
      </c>
      <c r="CV3" s="8" t="s">
        <v>72</v>
      </c>
      <c r="CW3" s="8" t="s">
        <v>68</v>
      </c>
      <c r="CX3" s="8" t="s">
        <v>69</v>
      </c>
      <c r="CY3" s="8" t="s">
        <v>70</v>
      </c>
      <c r="CZ3" s="8" t="s">
        <v>71</v>
      </c>
      <c r="DA3" s="8" t="s">
        <v>72</v>
      </c>
      <c r="DB3" s="8" t="s">
        <v>68</v>
      </c>
      <c r="DC3" s="8" t="s">
        <v>69</v>
      </c>
      <c r="DD3" s="8" t="s">
        <v>70</v>
      </c>
      <c r="DE3" s="8" t="s">
        <v>71</v>
      </c>
      <c r="DF3" s="8" t="s">
        <v>72</v>
      </c>
      <c r="DG3" s="8" t="s">
        <v>68</v>
      </c>
      <c r="DH3" s="8" t="s">
        <v>69</v>
      </c>
      <c r="DI3" s="8" t="s">
        <v>70</v>
      </c>
      <c r="DJ3" s="8" t="s">
        <v>71</v>
      </c>
      <c r="DK3" s="8" t="s">
        <v>72</v>
      </c>
      <c r="DL3" s="8" t="s">
        <v>68</v>
      </c>
      <c r="DM3" s="8" t="s">
        <v>69</v>
      </c>
      <c r="DN3" s="8" t="s">
        <v>70</v>
      </c>
      <c r="DO3" s="8" t="s">
        <v>71</v>
      </c>
      <c r="DP3" s="8" t="s">
        <v>72</v>
      </c>
      <c r="DQ3" s="8" t="s">
        <v>68</v>
      </c>
      <c r="DR3" s="8" t="s">
        <v>69</v>
      </c>
      <c r="DS3" s="8" t="s">
        <v>70</v>
      </c>
      <c r="DT3" s="8" t="s">
        <v>71</v>
      </c>
      <c r="DU3" s="8" t="s">
        <v>72</v>
      </c>
      <c r="DV3" s="8" t="s">
        <v>68</v>
      </c>
      <c r="DW3" s="8" t="s">
        <v>69</v>
      </c>
      <c r="DX3" s="8" t="s">
        <v>70</v>
      </c>
      <c r="DY3" s="8" t="s">
        <v>71</v>
      </c>
      <c r="DZ3" s="8" t="s">
        <v>72</v>
      </c>
      <c r="EA3" s="8" t="s">
        <v>68</v>
      </c>
      <c r="EB3" s="8" t="s">
        <v>69</v>
      </c>
      <c r="EC3" s="8" t="s">
        <v>70</v>
      </c>
      <c r="ED3" s="8" t="s">
        <v>71</v>
      </c>
      <c r="EE3" s="8" t="s">
        <v>72</v>
      </c>
      <c r="EF3" s="8" t="s">
        <v>68</v>
      </c>
      <c r="EG3" s="8" t="s">
        <v>69</v>
      </c>
      <c r="EH3" s="8" t="s">
        <v>70</v>
      </c>
      <c r="EI3" s="8" t="s">
        <v>71</v>
      </c>
      <c r="EJ3" s="8" t="s">
        <v>72</v>
      </c>
      <c r="EK3" s="8" t="s">
        <v>68</v>
      </c>
      <c r="EL3" s="8" t="s">
        <v>69</v>
      </c>
      <c r="EM3" s="8" t="s">
        <v>70</v>
      </c>
      <c r="EN3" s="8" t="s">
        <v>71</v>
      </c>
      <c r="EO3" s="8" t="s">
        <v>72</v>
      </c>
      <c r="EP3" s="8" t="s">
        <v>68</v>
      </c>
      <c r="EQ3" s="8" t="s">
        <v>69</v>
      </c>
      <c r="ER3" s="8" t="s">
        <v>70</v>
      </c>
      <c r="ES3" s="8" t="s">
        <v>71</v>
      </c>
      <c r="ET3" s="8" t="s">
        <v>72</v>
      </c>
      <c r="EU3" s="8" t="s">
        <v>68</v>
      </c>
      <c r="EV3" s="8" t="s">
        <v>69</v>
      </c>
      <c r="EW3" s="8" t="s">
        <v>70</v>
      </c>
      <c r="EX3" s="8" t="s">
        <v>71</v>
      </c>
      <c r="EY3" s="8" t="s">
        <v>72</v>
      </c>
      <c r="EZ3" s="8" t="s">
        <v>68</v>
      </c>
      <c r="FA3" s="8" t="s">
        <v>69</v>
      </c>
      <c r="FB3" s="8" t="s">
        <v>70</v>
      </c>
      <c r="FC3" s="8" t="s">
        <v>71</v>
      </c>
      <c r="FD3" s="8" t="s">
        <v>72</v>
      </c>
      <c r="FE3" s="8" t="s">
        <v>68</v>
      </c>
      <c r="FF3" s="8" t="s">
        <v>69</v>
      </c>
      <c r="FG3" s="8" t="s">
        <v>70</v>
      </c>
      <c r="FH3" s="8" t="s">
        <v>71</v>
      </c>
      <c r="FI3" s="8" t="s">
        <v>72</v>
      </c>
      <c r="FJ3" s="8" t="s">
        <v>68</v>
      </c>
      <c r="FK3" s="8" t="s">
        <v>69</v>
      </c>
      <c r="FL3" s="8" t="s">
        <v>70</v>
      </c>
      <c r="FM3" s="8" t="s">
        <v>71</v>
      </c>
      <c r="FN3" s="8" t="s">
        <v>72</v>
      </c>
      <c r="FO3" s="8" t="s">
        <v>68</v>
      </c>
      <c r="FP3" s="8" t="s">
        <v>69</v>
      </c>
      <c r="FQ3" s="8" t="s">
        <v>70</v>
      </c>
      <c r="FR3" s="8" t="s">
        <v>71</v>
      </c>
      <c r="FS3" s="8" t="s">
        <v>72</v>
      </c>
      <c r="FT3" s="8" t="s">
        <v>68</v>
      </c>
      <c r="FU3" s="8" t="s">
        <v>69</v>
      </c>
      <c r="FV3" s="8" t="s">
        <v>70</v>
      </c>
      <c r="FW3" s="8" t="s">
        <v>71</v>
      </c>
      <c r="FX3" s="8" t="s">
        <v>72</v>
      </c>
      <c r="FY3" s="8" t="s">
        <v>68</v>
      </c>
      <c r="FZ3" s="8" t="s">
        <v>69</v>
      </c>
      <c r="GA3" s="8" t="s">
        <v>70</v>
      </c>
      <c r="GB3" s="8" t="s">
        <v>71</v>
      </c>
      <c r="GC3" s="8" t="s">
        <v>72</v>
      </c>
      <c r="GD3" s="8" t="s">
        <v>68</v>
      </c>
      <c r="GE3" s="8" t="s">
        <v>69</v>
      </c>
      <c r="GF3" s="8" t="s">
        <v>70</v>
      </c>
      <c r="GG3" s="8" t="s">
        <v>71</v>
      </c>
      <c r="GH3" s="8" t="s">
        <v>72</v>
      </c>
      <c r="GI3" s="8" t="s">
        <v>68</v>
      </c>
      <c r="GJ3" s="8" t="s">
        <v>69</v>
      </c>
      <c r="GK3" s="8" t="s">
        <v>70</v>
      </c>
      <c r="GL3" s="8" t="s">
        <v>71</v>
      </c>
      <c r="GM3" s="8" t="s">
        <v>72</v>
      </c>
      <c r="GN3" s="8" t="s">
        <v>68</v>
      </c>
      <c r="GO3" s="8" t="s">
        <v>69</v>
      </c>
      <c r="GP3" s="8" t="s">
        <v>70</v>
      </c>
      <c r="GQ3" s="8" t="s">
        <v>71</v>
      </c>
      <c r="GR3" s="8" t="s">
        <v>72</v>
      </c>
      <c r="GS3" s="8" t="s">
        <v>68</v>
      </c>
      <c r="GT3" s="8" t="s">
        <v>69</v>
      </c>
      <c r="GU3" s="8" t="s">
        <v>70</v>
      </c>
      <c r="GV3" s="8" t="s">
        <v>71</v>
      </c>
      <c r="GW3" s="8" t="s">
        <v>72</v>
      </c>
      <c r="GX3" s="8" t="s">
        <v>68</v>
      </c>
      <c r="GY3" s="8" t="s">
        <v>69</v>
      </c>
      <c r="GZ3" s="8" t="s">
        <v>70</v>
      </c>
      <c r="HA3" s="8" t="s">
        <v>71</v>
      </c>
      <c r="HB3" s="8" t="s">
        <v>72</v>
      </c>
      <c r="HC3" s="8" t="s">
        <v>68</v>
      </c>
      <c r="HD3" s="8" t="s">
        <v>69</v>
      </c>
      <c r="HE3" s="8" t="s">
        <v>70</v>
      </c>
      <c r="HF3" s="8" t="s">
        <v>71</v>
      </c>
      <c r="HG3" s="8" t="s">
        <v>72</v>
      </c>
    </row>
    <row r="4" spans="2:215" ht="22.5" customHeight="1" x14ac:dyDescent="0.2">
      <c r="B4" s="1" t="s">
        <v>17</v>
      </c>
      <c r="C4" s="1">
        <v>4</v>
      </c>
      <c r="D4" s="1">
        <f>SUM(E4:I4)</f>
        <v>4</v>
      </c>
      <c r="E4" s="1">
        <f t="shared" ref="E4:F19" si="0">IF(SUMIF($3:$3,E$2,4:4)=0," ",SUMIF($3:$3,E$2,4:4))</f>
        <v>4</v>
      </c>
      <c r="F4" s="1" t="str">
        <f>IF(SUMIF($3:$3,F$2,4:4)=0," ",SUMIF($3:$3,F$2,4:4))</f>
        <v xml:space="preserve"> </v>
      </c>
      <c r="G4" s="1" t="str">
        <f t="shared" ref="G4:I31" si="1">IF(SUMIF($3:$3,G$2,4:4)=0," ",SUMIF($3:$3,G$2,4:4))</f>
        <v xml:space="preserve"> </v>
      </c>
      <c r="H4" s="1" t="str">
        <f t="shared" si="1"/>
        <v xml:space="preserve"> </v>
      </c>
      <c r="I4" s="1" t="str">
        <f t="shared" si="1"/>
        <v xml:space="preserve"> </v>
      </c>
      <c r="J4" s="1">
        <f t="shared" ref="J4:J31" si="2">SUM(K4:HG4)</f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>
        <v>2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>
        <v>2</v>
      </c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</row>
    <row r="5" spans="2:215" ht="22.5" customHeight="1" x14ac:dyDescent="0.2">
      <c r="B5" s="1" t="s">
        <v>18</v>
      </c>
      <c r="C5" s="1">
        <v>3</v>
      </c>
      <c r="D5" s="1">
        <f t="shared" ref="D5:D31" si="3">SUM(E5:I5)</f>
        <v>3</v>
      </c>
      <c r="E5" s="1">
        <f t="shared" si="0"/>
        <v>3</v>
      </c>
      <c r="F5" s="1" t="str">
        <f t="shared" si="0"/>
        <v xml:space="preserve"> </v>
      </c>
      <c r="G5" s="1" t="str">
        <f t="shared" si="1"/>
        <v xml:space="preserve"> </v>
      </c>
      <c r="H5" s="1" t="str">
        <f t="shared" si="1"/>
        <v xml:space="preserve"> </v>
      </c>
      <c r="I5" s="1" t="str">
        <f t="shared" si="1"/>
        <v xml:space="preserve"> </v>
      </c>
      <c r="J5" s="1">
        <f t="shared" si="2"/>
        <v>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>
        <v>1</v>
      </c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>
        <v>1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>
        <v>1</v>
      </c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</row>
    <row r="6" spans="2:215" ht="22.5" customHeight="1" x14ac:dyDescent="0.2">
      <c r="B6" s="1" t="s">
        <v>19</v>
      </c>
      <c r="C6" s="1">
        <v>7</v>
      </c>
      <c r="D6" s="1">
        <f t="shared" si="3"/>
        <v>7</v>
      </c>
      <c r="E6" s="1">
        <f t="shared" si="0"/>
        <v>7</v>
      </c>
      <c r="F6" s="1" t="str">
        <f t="shared" si="0"/>
        <v xml:space="preserve"> </v>
      </c>
      <c r="G6" s="1" t="str">
        <f t="shared" si="1"/>
        <v xml:space="preserve"> </v>
      </c>
      <c r="H6" s="1" t="str">
        <f t="shared" si="1"/>
        <v xml:space="preserve"> </v>
      </c>
      <c r="I6" s="1" t="str">
        <f t="shared" si="1"/>
        <v xml:space="preserve"> </v>
      </c>
      <c r="J6" s="1">
        <f t="shared" si="2"/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>
        <v>1</v>
      </c>
      <c r="CX6" s="1"/>
      <c r="CY6" s="1"/>
      <c r="CZ6" s="1"/>
      <c r="DA6" s="1"/>
      <c r="DB6" s="1">
        <v>2</v>
      </c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>
        <v>1</v>
      </c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>
        <v>1</v>
      </c>
      <c r="GE6" s="1"/>
      <c r="GF6" s="1"/>
      <c r="GG6" s="1"/>
      <c r="GH6" s="1"/>
      <c r="GI6" s="1">
        <v>2</v>
      </c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</row>
    <row r="7" spans="2:215" ht="22.5" customHeight="1" x14ac:dyDescent="0.2">
      <c r="B7" s="1" t="s">
        <v>20</v>
      </c>
      <c r="C7" s="1">
        <v>25</v>
      </c>
      <c r="D7" s="1">
        <f t="shared" si="3"/>
        <v>25</v>
      </c>
      <c r="E7" s="1">
        <f t="shared" si="0"/>
        <v>25</v>
      </c>
      <c r="F7" s="1" t="str">
        <f t="shared" si="0"/>
        <v xml:space="preserve"> </v>
      </c>
      <c r="G7" s="1" t="str">
        <f t="shared" si="1"/>
        <v xml:space="preserve"> </v>
      </c>
      <c r="H7" s="1" t="str">
        <f t="shared" si="1"/>
        <v xml:space="preserve"> </v>
      </c>
      <c r="I7" s="1" t="str">
        <f t="shared" si="1"/>
        <v xml:space="preserve"> </v>
      </c>
      <c r="J7" s="1">
        <f t="shared" si="2"/>
        <v>25</v>
      </c>
      <c r="K7" s="1">
        <v>1</v>
      </c>
      <c r="L7" s="1"/>
      <c r="M7" s="1"/>
      <c r="N7" s="1"/>
      <c r="O7" s="1"/>
      <c r="P7" s="1">
        <v>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v>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>
        <v>3</v>
      </c>
      <c r="BT7" s="1"/>
      <c r="BU7" s="1"/>
      <c r="BV7" s="1"/>
      <c r="BW7" s="1"/>
      <c r="BX7" s="1"/>
      <c r="BY7" s="1"/>
      <c r="BZ7" s="1"/>
      <c r="CA7" s="1"/>
      <c r="CB7" s="1"/>
      <c r="CC7" s="1">
        <v>2</v>
      </c>
      <c r="CD7" s="1"/>
      <c r="CE7" s="1"/>
      <c r="CF7" s="1"/>
      <c r="CG7" s="1"/>
      <c r="CH7" s="1"/>
      <c r="CI7" s="1"/>
      <c r="CJ7" s="1"/>
      <c r="CK7" s="1"/>
      <c r="CL7" s="1"/>
      <c r="CM7" s="1">
        <v>2</v>
      </c>
      <c r="CN7" s="1"/>
      <c r="CO7" s="1"/>
      <c r="CP7" s="1"/>
      <c r="CQ7" s="1"/>
      <c r="CR7" s="1">
        <v>2</v>
      </c>
      <c r="CS7" s="1"/>
      <c r="CT7" s="1"/>
      <c r="CU7" s="1"/>
      <c r="CV7" s="1"/>
      <c r="CW7" s="1">
        <v>1</v>
      </c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>
        <v>1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>
        <v>1</v>
      </c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>
        <v>1</v>
      </c>
      <c r="GE7" s="1"/>
      <c r="GF7" s="1"/>
      <c r="GG7" s="1"/>
      <c r="GH7" s="1"/>
      <c r="GI7" s="1"/>
      <c r="GJ7" s="1"/>
      <c r="GK7" s="1"/>
      <c r="GL7" s="1"/>
      <c r="GM7" s="1"/>
      <c r="GN7" s="1">
        <v>1</v>
      </c>
      <c r="GO7" s="1"/>
      <c r="GP7" s="1"/>
      <c r="GQ7" s="1"/>
      <c r="GR7" s="1"/>
      <c r="GS7" s="1">
        <v>2</v>
      </c>
      <c r="GT7" s="1"/>
      <c r="GU7" s="1"/>
      <c r="GV7" s="1"/>
      <c r="GW7" s="1"/>
      <c r="GX7" s="1">
        <v>2</v>
      </c>
      <c r="GY7" s="1"/>
      <c r="GZ7" s="1"/>
      <c r="HA7" s="1"/>
      <c r="HB7" s="1"/>
      <c r="HC7" s="1">
        <v>2</v>
      </c>
      <c r="HD7" s="1"/>
      <c r="HE7" s="1"/>
      <c r="HF7" s="1"/>
      <c r="HG7" s="1"/>
    </row>
    <row r="8" spans="2:215" ht="22.5" customHeight="1" x14ac:dyDescent="0.2">
      <c r="B8" s="1" t="s">
        <v>21</v>
      </c>
      <c r="C8" s="1">
        <v>4</v>
      </c>
      <c r="D8" s="1">
        <f t="shared" si="3"/>
        <v>4</v>
      </c>
      <c r="E8" s="1">
        <f t="shared" si="0"/>
        <v>4</v>
      </c>
      <c r="F8" s="1" t="str">
        <f t="shared" si="0"/>
        <v xml:space="preserve"> </v>
      </c>
      <c r="G8" s="1" t="str">
        <f t="shared" si="1"/>
        <v xml:space="preserve"> </v>
      </c>
      <c r="H8" s="1" t="str">
        <f t="shared" si="1"/>
        <v xml:space="preserve"> </v>
      </c>
      <c r="I8" s="1" t="str">
        <f t="shared" si="1"/>
        <v xml:space="preserve"> </v>
      </c>
      <c r="J8" s="1">
        <f t="shared" si="2"/>
        <v>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>
        <v>2</v>
      </c>
      <c r="DH8" s="1"/>
      <c r="DI8" s="1"/>
      <c r="DJ8" s="1"/>
      <c r="DK8" s="1"/>
      <c r="DL8" s="1">
        <v>2</v>
      </c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</row>
    <row r="9" spans="2:215" ht="22.5" customHeight="1" x14ac:dyDescent="0.2">
      <c r="B9" s="1" t="s">
        <v>22</v>
      </c>
      <c r="C9" s="1">
        <v>4</v>
      </c>
      <c r="D9" s="1">
        <f t="shared" si="3"/>
        <v>4</v>
      </c>
      <c r="E9" s="1">
        <f t="shared" si="0"/>
        <v>4</v>
      </c>
      <c r="F9" s="1" t="str">
        <f t="shared" si="0"/>
        <v xml:space="preserve"> </v>
      </c>
      <c r="G9" s="1" t="str">
        <f t="shared" si="1"/>
        <v xml:space="preserve"> </v>
      </c>
      <c r="H9" s="1" t="str">
        <f t="shared" si="1"/>
        <v xml:space="preserve"> </v>
      </c>
      <c r="I9" s="1" t="str">
        <f t="shared" si="1"/>
        <v xml:space="preserve"> </v>
      </c>
      <c r="J9" s="1">
        <f t="shared" si="2"/>
        <v>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>
        <v>2</v>
      </c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>
        <v>2</v>
      </c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</row>
    <row r="10" spans="2:215" ht="22.5" customHeight="1" x14ac:dyDescent="0.2">
      <c r="B10" s="22" t="s">
        <v>23</v>
      </c>
      <c r="C10" s="1">
        <v>4</v>
      </c>
      <c r="D10" s="1">
        <f t="shared" si="3"/>
        <v>4</v>
      </c>
      <c r="E10" s="1">
        <f t="shared" si="0"/>
        <v>4</v>
      </c>
      <c r="F10" s="1" t="str">
        <f t="shared" si="0"/>
        <v xml:space="preserve"> </v>
      </c>
      <c r="G10" s="1" t="str">
        <f t="shared" si="1"/>
        <v xml:space="preserve"> </v>
      </c>
      <c r="H10" s="1" t="str">
        <f t="shared" si="1"/>
        <v xml:space="preserve"> </v>
      </c>
      <c r="I10" s="1" t="str">
        <f t="shared" si="1"/>
        <v xml:space="preserve"> </v>
      </c>
      <c r="J10" s="1">
        <f t="shared" si="2"/>
        <v>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</v>
      </c>
      <c r="V10" s="1"/>
      <c r="W10" s="1"/>
      <c r="X10" s="1"/>
      <c r="Y10" s="1"/>
      <c r="Z10" s="1">
        <v>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</row>
    <row r="11" spans="2:215" ht="22.5" customHeight="1" x14ac:dyDescent="0.2">
      <c r="B11" s="22" t="s">
        <v>24</v>
      </c>
      <c r="C11" s="1">
        <v>2</v>
      </c>
      <c r="D11" s="1">
        <f t="shared" si="3"/>
        <v>2</v>
      </c>
      <c r="E11" s="1">
        <f t="shared" si="0"/>
        <v>2</v>
      </c>
      <c r="F11" s="1" t="str">
        <f t="shared" si="0"/>
        <v xml:space="preserve"> </v>
      </c>
      <c r="G11" s="1" t="str">
        <f t="shared" si="1"/>
        <v xml:space="preserve"> </v>
      </c>
      <c r="H11" s="1" t="str">
        <f t="shared" si="1"/>
        <v xml:space="preserve"> </v>
      </c>
      <c r="I11" s="1" t="str">
        <f t="shared" si="1"/>
        <v xml:space="preserve"> </v>
      </c>
      <c r="J11" s="1">
        <f t="shared" si="2"/>
        <v>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>
        <v>2</v>
      </c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</row>
    <row r="12" spans="2:215" ht="22.5" customHeight="1" x14ac:dyDescent="0.2">
      <c r="B12" s="22" t="s">
        <v>25</v>
      </c>
      <c r="C12" s="1">
        <v>2</v>
      </c>
      <c r="D12" s="1">
        <f t="shared" si="3"/>
        <v>2</v>
      </c>
      <c r="E12" s="1" t="str">
        <f t="shared" si="0"/>
        <v xml:space="preserve"> </v>
      </c>
      <c r="F12" s="1">
        <f t="shared" si="0"/>
        <v>1</v>
      </c>
      <c r="G12" s="1">
        <f t="shared" si="1"/>
        <v>1</v>
      </c>
      <c r="H12" s="1" t="str">
        <f t="shared" si="1"/>
        <v xml:space="preserve"> </v>
      </c>
      <c r="I12" s="1" t="str">
        <f t="shared" si="1"/>
        <v xml:space="preserve"> </v>
      </c>
      <c r="J12" s="1">
        <f t="shared" si="2"/>
        <v>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>
        <v>1</v>
      </c>
      <c r="CY12" s="1">
        <v>1</v>
      </c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</row>
    <row r="13" spans="2:215" ht="22.5" customHeight="1" x14ac:dyDescent="0.2">
      <c r="B13" s="22" t="s">
        <v>26</v>
      </c>
      <c r="C13" s="1">
        <v>60</v>
      </c>
      <c r="D13" s="1">
        <f t="shared" si="3"/>
        <v>60</v>
      </c>
      <c r="E13" s="1" t="str">
        <f t="shared" si="0"/>
        <v xml:space="preserve"> </v>
      </c>
      <c r="F13" s="1">
        <f t="shared" si="0"/>
        <v>30</v>
      </c>
      <c r="G13" s="1">
        <f t="shared" si="1"/>
        <v>30</v>
      </c>
      <c r="H13" s="1" t="str">
        <f t="shared" si="1"/>
        <v xml:space="preserve"> </v>
      </c>
      <c r="I13" s="1" t="str">
        <f t="shared" si="1"/>
        <v xml:space="preserve"> </v>
      </c>
      <c r="J13" s="1">
        <f t="shared" si="2"/>
        <v>60</v>
      </c>
      <c r="K13" s="1"/>
      <c r="L13" s="1">
        <v>1</v>
      </c>
      <c r="M13" s="1">
        <v>1</v>
      </c>
      <c r="N13" s="1"/>
      <c r="O13" s="1"/>
      <c r="P13" s="1"/>
      <c r="Q13" s="1">
        <v>1</v>
      </c>
      <c r="R13" s="1">
        <v>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>
        <v>3</v>
      </c>
      <c r="AG13" s="1">
        <v>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>
        <v>3</v>
      </c>
      <c r="BU13" s="1">
        <v>3</v>
      </c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>
        <v>2</v>
      </c>
      <c r="CO13" s="1">
        <v>2</v>
      </c>
      <c r="CP13" s="1"/>
      <c r="CQ13" s="1"/>
      <c r="CR13" s="1"/>
      <c r="CS13" s="1">
        <v>2</v>
      </c>
      <c r="CT13" s="1">
        <v>2</v>
      </c>
      <c r="CU13" s="1"/>
      <c r="CV13" s="1"/>
      <c r="CW13" s="1"/>
      <c r="CX13" s="1">
        <v>1</v>
      </c>
      <c r="CY13" s="1">
        <v>1</v>
      </c>
      <c r="CZ13" s="1"/>
      <c r="DA13" s="1"/>
      <c r="DB13" s="1"/>
      <c r="DC13" s="1">
        <v>2</v>
      </c>
      <c r="DD13" s="1">
        <v>2</v>
      </c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>
        <v>2</v>
      </c>
      <c r="EC13" s="1">
        <v>2</v>
      </c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>
        <v>2</v>
      </c>
      <c r="EW13" s="1">
        <v>2</v>
      </c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>
        <v>1</v>
      </c>
      <c r="FQ13" s="1">
        <v>1</v>
      </c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>
        <v>2</v>
      </c>
      <c r="GF13" s="1">
        <v>2</v>
      </c>
      <c r="GG13" s="1"/>
      <c r="GH13" s="1"/>
      <c r="GI13" s="1"/>
      <c r="GJ13" s="1"/>
      <c r="GK13" s="1"/>
      <c r="GL13" s="1"/>
      <c r="GM13" s="1"/>
      <c r="GN13" s="1"/>
      <c r="GO13" s="1">
        <v>2</v>
      </c>
      <c r="GP13" s="1">
        <v>2</v>
      </c>
      <c r="GQ13" s="1"/>
      <c r="GR13" s="1"/>
      <c r="GS13" s="1"/>
      <c r="GT13" s="1">
        <v>2</v>
      </c>
      <c r="GU13" s="1">
        <v>2</v>
      </c>
      <c r="GV13" s="1"/>
      <c r="GW13" s="1"/>
      <c r="GX13" s="1"/>
      <c r="GY13" s="1">
        <v>2</v>
      </c>
      <c r="GZ13" s="1">
        <v>2</v>
      </c>
      <c r="HA13" s="1"/>
      <c r="HB13" s="1"/>
      <c r="HC13" s="1"/>
      <c r="HD13" s="1">
        <v>2</v>
      </c>
      <c r="HE13" s="1">
        <v>2</v>
      </c>
      <c r="HF13" s="1"/>
      <c r="HG13" s="1"/>
    </row>
    <row r="14" spans="2:215" ht="22.5" customHeight="1" x14ac:dyDescent="0.2">
      <c r="B14" s="22" t="s">
        <v>27</v>
      </c>
      <c r="C14" s="1">
        <v>16</v>
      </c>
      <c r="D14" s="1">
        <f t="shared" si="3"/>
        <v>16</v>
      </c>
      <c r="E14" s="1" t="str">
        <f t="shared" si="0"/>
        <v xml:space="preserve"> </v>
      </c>
      <c r="F14" s="1">
        <f t="shared" si="0"/>
        <v>8</v>
      </c>
      <c r="G14" s="1">
        <f t="shared" si="1"/>
        <v>8</v>
      </c>
      <c r="H14" s="1" t="str">
        <f t="shared" si="1"/>
        <v xml:space="preserve"> </v>
      </c>
      <c r="I14" s="1" t="str">
        <f t="shared" si="1"/>
        <v xml:space="preserve"> </v>
      </c>
      <c r="J14" s="1">
        <f t="shared" si="2"/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>
        <v>2</v>
      </c>
      <c r="BA14" s="1">
        <v>2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>
        <v>2</v>
      </c>
      <c r="CE14" s="1">
        <v>2</v>
      </c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>
        <v>2</v>
      </c>
      <c r="DI14" s="1">
        <v>2</v>
      </c>
      <c r="DJ14" s="1"/>
      <c r="DK14" s="1"/>
      <c r="DL14" s="1"/>
      <c r="DM14" s="1">
        <v>2</v>
      </c>
      <c r="DN14" s="1">
        <v>2</v>
      </c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</row>
    <row r="15" spans="2:215" ht="22.5" customHeight="1" x14ac:dyDescent="0.2">
      <c r="B15" s="22" t="s">
        <v>28</v>
      </c>
      <c r="C15" s="1">
        <v>16</v>
      </c>
      <c r="D15" s="1">
        <f t="shared" si="3"/>
        <v>16</v>
      </c>
      <c r="E15" s="1" t="str">
        <f t="shared" si="0"/>
        <v xml:space="preserve"> </v>
      </c>
      <c r="F15" s="1">
        <f t="shared" si="0"/>
        <v>8</v>
      </c>
      <c r="G15" s="1">
        <f t="shared" si="1"/>
        <v>8</v>
      </c>
      <c r="H15" s="1" t="str">
        <f t="shared" si="1"/>
        <v xml:space="preserve"> </v>
      </c>
      <c r="I15" s="1" t="str">
        <f t="shared" si="1"/>
        <v xml:space="preserve"> </v>
      </c>
      <c r="J15" s="1">
        <f t="shared" si="2"/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>
        <v>2</v>
      </c>
      <c r="BZ15" s="1">
        <v>2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>
        <v>2</v>
      </c>
      <c r="FV15" s="1">
        <v>2</v>
      </c>
      <c r="FW15" s="1"/>
      <c r="FX15" s="1"/>
      <c r="FY15" s="1"/>
      <c r="FZ15" s="1">
        <v>2</v>
      </c>
      <c r="GA15" s="1">
        <v>2</v>
      </c>
      <c r="GB15" s="1"/>
      <c r="GC15" s="1"/>
      <c r="GD15" s="1"/>
      <c r="GE15" s="1"/>
      <c r="GF15" s="1"/>
      <c r="GG15" s="1"/>
      <c r="GH15" s="1"/>
      <c r="GI15" s="1"/>
      <c r="GJ15" s="1">
        <v>2</v>
      </c>
      <c r="GK15" s="1">
        <v>2</v>
      </c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</row>
    <row r="16" spans="2:215" ht="22.5" customHeight="1" x14ac:dyDescent="0.2">
      <c r="B16" s="22" t="s">
        <v>29</v>
      </c>
      <c r="C16" s="1">
        <v>12</v>
      </c>
      <c r="D16" s="1">
        <f t="shared" si="3"/>
        <v>12</v>
      </c>
      <c r="E16" s="1" t="str">
        <f t="shared" si="0"/>
        <v xml:space="preserve"> </v>
      </c>
      <c r="F16" s="1">
        <f t="shared" si="0"/>
        <v>6</v>
      </c>
      <c r="G16" s="1">
        <f t="shared" si="1"/>
        <v>6</v>
      </c>
      <c r="H16" s="1" t="str">
        <f t="shared" si="1"/>
        <v xml:space="preserve"> </v>
      </c>
      <c r="I16" s="1" t="str">
        <f t="shared" si="1"/>
        <v xml:space="preserve"> </v>
      </c>
      <c r="J16" s="1">
        <f t="shared" si="2"/>
        <v>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2</v>
      </c>
      <c r="W16" s="1">
        <v>2</v>
      </c>
      <c r="X16" s="1"/>
      <c r="Y16" s="1"/>
      <c r="Z16" s="1"/>
      <c r="AA16" s="1">
        <v>2</v>
      </c>
      <c r="AB16" s="1">
        <v>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>
        <v>2</v>
      </c>
      <c r="BF16" s="1">
        <v>2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</row>
    <row r="17" spans="2:215" ht="22.5" customHeight="1" x14ac:dyDescent="0.2">
      <c r="B17" s="22" t="s">
        <v>30</v>
      </c>
      <c r="C17" s="1">
        <v>1</v>
      </c>
      <c r="D17" s="1">
        <f t="shared" si="3"/>
        <v>1</v>
      </c>
      <c r="E17" s="1" t="str">
        <f t="shared" si="0"/>
        <v xml:space="preserve"> </v>
      </c>
      <c r="F17" s="1" t="str">
        <f t="shared" si="0"/>
        <v xml:space="preserve"> </v>
      </c>
      <c r="G17" s="1" t="str">
        <f t="shared" si="1"/>
        <v xml:space="preserve"> </v>
      </c>
      <c r="H17" s="1" t="str">
        <f t="shared" si="1"/>
        <v xml:space="preserve"> </v>
      </c>
      <c r="I17" s="1">
        <f t="shared" si="1"/>
        <v>1</v>
      </c>
      <c r="J17" s="1">
        <f t="shared" si="2"/>
        <v>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>
        <v>1</v>
      </c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</row>
    <row r="18" spans="2:215" ht="22.5" customHeight="1" x14ac:dyDescent="0.2">
      <c r="B18" s="22" t="s">
        <v>31</v>
      </c>
      <c r="C18" s="1">
        <v>49</v>
      </c>
      <c r="D18" s="1">
        <f t="shared" si="3"/>
        <v>49</v>
      </c>
      <c r="E18" s="1" t="str">
        <f t="shared" si="0"/>
        <v xml:space="preserve"> </v>
      </c>
      <c r="F18" s="1" t="str">
        <f t="shared" si="0"/>
        <v xml:space="preserve"> </v>
      </c>
      <c r="G18" s="1" t="str">
        <f t="shared" si="1"/>
        <v xml:space="preserve"> </v>
      </c>
      <c r="H18" s="1">
        <f t="shared" si="1"/>
        <v>23</v>
      </c>
      <c r="I18" s="1">
        <f t="shared" si="1"/>
        <v>26</v>
      </c>
      <c r="J18" s="1">
        <f t="shared" si="2"/>
        <v>49</v>
      </c>
      <c r="K18" s="1"/>
      <c r="L18" s="1"/>
      <c r="M18" s="1"/>
      <c r="N18" s="1">
        <v>1</v>
      </c>
      <c r="O18" s="1">
        <v>1</v>
      </c>
      <c r="P18" s="1"/>
      <c r="Q18" s="1"/>
      <c r="R18" s="1"/>
      <c r="S18" s="1">
        <v>1</v>
      </c>
      <c r="T18" s="1">
        <v>1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>
        <v>3</v>
      </c>
      <c r="AI18" s="1">
        <v>3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>
        <v>3</v>
      </c>
      <c r="BW18" s="1">
        <v>3</v>
      </c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>
        <v>2</v>
      </c>
      <c r="CQ18" s="1">
        <v>2</v>
      </c>
      <c r="CR18" s="1"/>
      <c r="CS18" s="1"/>
      <c r="CT18" s="1"/>
      <c r="CU18" s="1">
        <v>2</v>
      </c>
      <c r="CV18" s="1">
        <v>2</v>
      </c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>
        <v>2</v>
      </c>
      <c r="DL18" s="1"/>
      <c r="DM18" s="1"/>
      <c r="DN18" s="1"/>
      <c r="DO18" s="1"/>
      <c r="DP18" s="1">
        <v>2</v>
      </c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>
        <v>2</v>
      </c>
      <c r="EE18" s="1">
        <v>2</v>
      </c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>
        <v>2</v>
      </c>
      <c r="EY18" s="1">
        <v>2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>
        <v>1</v>
      </c>
      <c r="FS18" s="1">
        <v>1</v>
      </c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>
        <v>2</v>
      </c>
      <c r="GH18" s="1">
        <v>1</v>
      </c>
      <c r="GI18" s="1"/>
      <c r="GJ18" s="1"/>
      <c r="GK18" s="1"/>
      <c r="GL18" s="1"/>
      <c r="GM18" s="1"/>
      <c r="GN18" s="1"/>
      <c r="GO18" s="1"/>
      <c r="GP18" s="1"/>
      <c r="GQ18" s="1">
        <v>2</v>
      </c>
      <c r="GR18" s="1">
        <v>2</v>
      </c>
      <c r="GS18" s="1"/>
      <c r="GT18" s="1"/>
      <c r="GU18" s="1"/>
      <c r="GV18" s="1"/>
      <c r="GW18" s="1"/>
      <c r="GX18" s="1"/>
      <c r="GY18" s="1"/>
      <c r="GZ18" s="1"/>
      <c r="HA18" s="1">
        <v>2</v>
      </c>
      <c r="HB18" s="1">
        <v>2</v>
      </c>
      <c r="HC18" s="1"/>
      <c r="HD18" s="1"/>
      <c r="HE18" s="1"/>
      <c r="HF18" s="1"/>
      <c r="HG18" s="1"/>
    </row>
    <row r="19" spans="2:215" ht="22.5" customHeight="1" x14ac:dyDescent="0.2">
      <c r="B19" s="1" t="s">
        <v>32</v>
      </c>
      <c r="C19" s="1">
        <v>12</v>
      </c>
      <c r="D19" s="1">
        <f t="shared" si="3"/>
        <v>12</v>
      </c>
      <c r="E19" s="1" t="str">
        <f t="shared" si="0"/>
        <v xml:space="preserve"> </v>
      </c>
      <c r="F19" s="1" t="str">
        <f t="shared" si="0"/>
        <v xml:space="preserve"> </v>
      </c>
      <c r="G19" s="1" t="str">
        <f t="shared" si="1"/>
        <v xml:space="preserve"> </v>
      </c>
      <c r="H19" s="1">
        <f t="shared" si="1"/>
        <v>8</v>
      </c>
      <c r="I19" s="1">
        <f t="shared" si="1"/>
        <v>4</v>
      </c>
      <c r="J19" s="1">
        <f t="shared" si="2"/>
        <v>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>
        <v>2</v>
      </c>
      <c r="BC19" s="1">
        <v>2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>
        <v>2</v>
      </c>
      <c r="CG19" s="1">
        <v>2</v>
      </c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>
        <v>2</v>
      </c>
      <c r="DK19" s="1"/>
      <c r="DL19" s="1"/>
      <c r="DM19" s="1"/>
      <c r="DN19" s="1"/>
      <c r="DO19" s="1">
        <v>2</v>
      </c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</row>
    <row r="20" spans="2:215" ht="22.5" customHeight="1" x14ac:dyDescent="0.2">
      <c r="B20" s="1" t="s">
        <v>33</v>
      </c>
      <c r="C20" s="1">
        <v>8</v>
      </c>
      <c r="D20" s="1">
        <f t="shared" si="3"/>
        <v>8</v>
      </c>
      <c r="E20" s="1" t="str">
        <f t="shared" ref="E20:F31" si="4">IF(SUMIF($3:$3,E$2,20:20)=0," ",SUMIF($3:$3,E$2,20:20))</f>
        <v xml:space="preserve"> </v>
      </c>
      <c r="F20" s="1" t="str">
        <f t="shared" si="4"/>
        <v xml:space="preserve"> </v>
      </c>
      <c r="G20" s="1" t="str">
        <f t="shared" si="1"/>
        <v xml:space="preserve"> </v>
      </c>
      <c r="H20" s="1">
        <f t="shared" si="1"/>
        <v>4</v>
      </c>
      <c r="I20" s="1">
        <f t="shared" si="1"/>
        <v>4</v>
      </c>
      <c r="J20" s="1">
        <f t="shared" si="2"/>
        <v>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>
        <v>2</v>
      </c>
      <c r="GC20" s="1">
        <v>2</v>
      </c>
      <c r="GD20" s="1"/>
      <c r="GE20" s="1"/>
      <c r="GF20" s="1"/>
      <c r="GG20" s="1"/>
      <c r="GH20" s="1"/>
      <c r="GI20" s="1"/>
      <c r="GJ20" s="1"/>
      <c r="GK20" s="1"/>
      <c r="GL20" s="1">
        <v>2</v>
      </c>
      <c r="GM20" s="1">
        <v>2</v>
      </c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</row>
    <row r="21" spans="2:215" ht="22.5" customHeight="1" x14ac:dyDescent="0.2">
      <c r="B21" s="1" t="s">
        <v>34</v>
      </c>
      <c r="C21" s="1">
        <v>6</v>
      </c>
      <c r="D21" s="1">
        <f t="shared" si="3"/>
        <v>6</v>
      </c>
      <c r="E21" s="1" t="str">
        <f t="shared" si="4"/>
        <v xml:space="preserve"> </v>
      </c>
      <c r="F21" s="1" t="str">
        <f t="shared" si="4"/>
        <v xml:space="preserve"> </v>
      </c>
      <c r="G21" s="1" t="str">
        <f t="shared" si="1"/>
        <v xml:space="preserve"> </v>
      </c>
      <c r="H21" s="1" t="str">
        <f t="shared" si="1"/>
        <v xml:space="preserve"> </v>
      </c>
      <c r="I21" s="1">
        <f t="shared" si="1"/>
        <v>6</v>
      </c>
      <c r="J21" s="1">
        <f t="shared" si="2"/>
        <v>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2</v>
      </c>
      <c r="Z21" s="1"/>
      <c r="AA21" s="1"/>
      <c r="AB21" s="1"/>
      <c r="AC21" s="1"/>
      <c r="AD21" s="1">
        <v>2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>
        <v>2</v>
      </c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</row>
    <row r="22" spans="2:215" ht="22.5" customHeight="1" x14ac:dyDescent="0.2">
      <c r="B22" s="1" t="s">
        <v>35</v>
      </c>
      <c r="C22" s="1">
        <v>6</v>
      </c>
      <c r="D22" s="1">
        <f t="shared" si="3"/>
        <v>6</v>
      </c>
      <c r="E22" s="1" t="str">
        <f t="shared" si="4"/>
        <v xml:space="preserve"> </v>
      </c>
      <c r="F22" s="1" t="str">
        <f t="shared" si="4"/>
        <v xml:space="preserve"> </v>
      </c>
      <c r="G22" s="1" t="str">
        <f t="shared" si="1"/>
        <v xml:space="preserve"> </v>
      </c>
      <c r="H22" s="1">
        <f t="shared" si="1"/>
        <v>6</v>
      </c>
      <c r="I22" s="1" t="str">
        <f t="shared" si="1"/>
        <v xml:space="preserve"> </v>
      </c>
      <c r="J22" s="1">
        <f t="shared" si="2"/>
        <v>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2</v>
      </c>
      <c r="Y22" s="1"/>
      <c r="Z22" s="1"/>
      <c r="AA22" s="1"/>
      <c r="AB22" s="1"/>
      <c r="AC22" s="1">
        <v>2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>
        <v>2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</row>
    <row r="23" spans="2:215" ht="22.5" customHeight="1" x14ac:dyDescent="0.2">
      <c r="B23" s="1" t="s">
        <v>36</v>
      </c>
      <c r="C23" s="1">
        <v>5</v>
      </c>
      <c r="D23" s="1">
        <f t="shared" si="3"/>
        <v>5</v>
      </c>
      <c r="E23" s="1">
        <f t="shared" si="4"/>
        <v>5</v>
      </c>
      <c r="F23" s="1" t="str">
        <f t="shared" si="4"/>
        <v xml:space="preserve"> </v>
      </c>
      <c r="G23" s="1" t="str">
        <f t="shared" si="1"/>
        <v xml:space="preserve"> </v>
      </c>
      <c r="H23" s="1" t="str">
        <f t="shared" si="1"/>
        <v xml:space="preserve"> </v>
      </c>
      <c r="I23" s="1" t="str">
        <f t="shared" si="1"/>
        <v xml:space="preserve"> </v>
      </c>
      <c r="J23" s="1">
        <f t="shared" si="2"/>
        <v>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>
        <v>2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>
        <v>1</v>
      </c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>
        <v>2</v>
      </c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</row>
    <row r="24" spans="2:215" ht="22.5" customHeight="1" x14ac:dyDescent="0.2">
      <c r="B24" s="1" t="s">
        <v>37</v>
      </c>
      <c r="C24" s="1">
        <v>10</v>
      </c>
      <c r="D24" s="1">
        <f t="shared" si="3"/>
        <v>10</v>
      </c>
      <c r="E24" s="1">
        <f t="shared" si="4"/>
        <v>10</v>
      </c>
      <c r="F24" s="1" t="str">
        <f t="shared" si="4"/>
        <v xml:space="preserve"> </v>
      </c>
      <c r="G24" s="1" t="str">
        <f t="shared" si="1"/>
        <v xml:space="preserve"> </v>
      </c>
      <c r="H24" s="1" t="str">
        <f t="shared" si="1"/>
        <v xml:space="preserve"> </v>
      </c>
      <c r="I24" s="1" t="str">
        <f t="shared" si="1"/>
        <v xml:space="preserve"> </v>
      </c>
      <c r="J24" s="1">
        <f t="shared" si="2"/>
        <v>10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>
        <v>1</v>
      </c>
      <c r="DR24" s="1"/>
      <c r="DS24" s="1"/>
      <c r="DT24" s="1"/>
      <c r="DU24" s="1"/>
      <c r="DV24" s="1">
        <v>1</v>
      </c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>
        <v>2</v>
      </c>
      <c r="EL24" s="1"/>
      <c r="EM24" s="1"/>
      <c r="EN24" s="1"/>
      <c r="EO24" s="1"/>
      <c r="EP24" s="1">
        <v>2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>
        <v>2</v>
      </c>
      <c r="FF24" s="1"/>
      <c r="FG24" s="1"/>
      <c r="FH24" s="1"/>
      <c r="FI24" s="1"/>
      <c r="FJ24" s="1">
        <v>2</v>
      </c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</row>
    <row r="25" spans="2:215" ht="22.5" customHeight="1" x14ac:dyDescent="0.2">
      <c r="B25" s="1" t="s">
        <v>38</v>
      </c>
      <c r="C25" s="1">
        <v>1</v>
      </c>
      <c r="D25" s="1">
        <f t="shared" si="3"/>
        <v>1</v>
      </c>
      <c r="E25" s="1">
        <f t="shared" si="4"/>
        <v>1</v>
      </c>
      <c r="F25" s="1" t="str">
        <f t="shared" si="4"/>
        <v xml:space="preserve"> </v>
      </c>
      <c r="G25" s="1" t="str">
        <f t="shared" si="1"/>
        <v xml:space="preserve"> </v>
      </c>
      <c r="H25" s="1" t="str">
        <f t="shared" si="1"/>
        <v xml:space="preserve"> </v>
      </c>
      <c r="I25" s="1" t="str">
        <f t="shared" si="1"/>
        <v xml:space="preserve"> </v>
      </c>
      <c r="J25" s="1">
        <f t="shared" si="2"/>
        <v>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>
        <v>1</v>
      </c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</row>
    <row r="26" spans="2:215" ht="22.5" customHeight="1" x14ac:dyDescent="0.2">
      <c r="B26" s="1" t="s">
        <v>39</v>
      </c>
      <c r="C26" s="1">
        <v>10</v>
      </c>
      <c r="D26" s="1">
        <f t="shared" si="3"/>
        <v>10</v>
      </c>
      <c r="E26" s="1">
        <f t="shared" si="4"/>
        <v>10</v>
      </c>
      <c r="F26" s="1" t="str">
        <f t="shared" si="4"/>
        <v xml:space="preserve"> </v>
      </c>
      <c r="G26" s="1" t="str">
        <f t="shared" si="1"/>
        <v xml:space="preserve"> </v>
      </c>
      <c r="H26" s="1" t="str">
        <f t="shared" si="1"/>
        <v xml:space="preserve"> </v>
      </c>
      <c r="I26" s="1" t="str">
        <f t="shared" si="1"/>
        <v xml:space="preserve"> </v>
      </c>
      <c r="J26" s="1">
        <f t="shared" si="2"/>
        <v>10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>
        <v>2</v>
      </c>
      <c r="AK26" s="1"/>
      <c r="AL26" s="1"/>
      <c r="AM26" s="1"/>
      <c r="AN26" s="1"/>
      <c r="AO26" s="1">
        <v>2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>
        <v>2</v>
      </c>
      <c r="BJ26" s="1"/>
      <c r="BK26" s="1"/>
      <c r="BL26" s="1"/>
      <c r="BM26" s="1"/>
      <c r="BN26" s="1">
        <v>2</v>
      </c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>
        <v>2</v>
      </c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</row>
    <row r="27" spans="2:215" ht="22.5" customHeight="1" x14ac:dyDescent="0.2">
      <c r="B27" s="1" t="s">
        <v>40</v>
      </c>
      <c r="C27" s="1">
        <v>1</v>
      </c>
      <c r="D27" s="1">
        <f t="shared" si="3"/>
        <v>1</v>
      </c>
      <c r="E27" s="1" t="str">
        <f t="shared" si="4"/>
        <v xml:space="preserve"> </v>
      </c>
      <c r="F27" s="1" t="str">
        <f t="shared" si="4"/>
        <v xml:space="preserve"> </v>
      </c>
      <c r="G27" s="1" t="str">
        <f t="shared" si="1"/>
        <v xml:space="preserve"> </v>
      </c>
      <c r="H27" s="1" t="str">
        <f t="shared" si="1"/>
        <v xml:space="preserve"> </v>
      </c>
      <c r="I27" s="1">
        <f t="shared" si="1"/>
        <v>1</v>
      </c>
      <c r="J27" s="1">
        <f t="shared" si="2"/>
        <v>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>
        <v>1</v>
      </c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</row>
    <row r="28" spans="2:215" ht="22.5" customHeight="1" x14ac:dyDescent="0.2">
      <c r="B28" s="1" t="s">
        <v>41</v>
      </c>
      <c r="C28" s="1">
        <v>5</v>
      </c>
      <c r="D28" s="1">
        <f t="shared" si="3"/>
        <v>5</v>
      </c>
      <c r="E28" s="1" t="str">
        <f t="shared" si="4"/>
        <v xml:space="preserve"> </v>
      </c>
      <c r="F28" s="1">
        <f t="shared" si="4"/>
        <v>1</v>
      </c>
      <c r="G28" s="1">
        <f t="shared" si="1"/>
        <v>1</v>
      </c>
      <c r="H28" s="1">
        <f t="shared" si="1"/>
        <v>2</v>
      </c>
      <c r="I28" s="1">
        <f t="shared" si="1"/>
        <v>1</v>
      </c>
      <c r="J28" s="1">
        <f t="shared" si="2"/>
        <v>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>
        <v>1</v>
      </c>
      <c r="DA28" s="1">
        <v>1</v>
      </c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>
        <v>1</v>
      </c>
      <c r="EH28" s="1">
        <v>1</v>
      </c>
      <c r="EI28" s="1">
        <v>1</v>
      </c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</row>
    <row r="29" spans="2:215" ht="22.5" customHeight="1" x14ac:dyDescent="0.2">
      <c r="B29" s="1" t="s">
        <v>42</v>
      </c>
      <c r="C29" s="1">
        <v>7</v>
      </c>
      <c r="D29" s="1">
        <f t="shared" si="3"/>
        <v>7</v>
      </c>
      <c r="E29" s="1" t="str">
        <f t="shared" si="4"/>
        <v xml:space="preserve"> </v>
      </c>
      <c r="F29" s="1" t="str">
        <f t="shared" si="4"/>
        <v xml:space="preserve"> </v>
      </c>
      <c r="G29" s="1" t="str">
        <f t="shared" si="1"/>
        <v xml:space="preserve"> </v>
      </c>
      <c r="H29" s="1" t="str">
        <f t="shared" si="1"/>
        <v xml:space="preserve"> </v>
      </c>
      <c r="I29" s="1">
        <f t="shared" si="1"/>
        <v>7</v>
      </c>
      <c r="J29" s="1">
        <f t="shared" si="2"/>
        <v>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>
        <v>1</v>
      </c>
      <c r="DV29" s="1"/>
      <c r="DW29" s="1"/>
      <c r="DX29" s="1"/>
      <c r="DY29" s="1"/>
      <c r="DZ29" s="1">
        <v>1</v>
      </c>
      <c r="EA29" s="1"/>
      <c r="EB29" s="1"/>
      <c r="EC29" s="1"/>
      <c r="ED29" s="1"/>
      <c r="EE29" s="1"/>
      <c r="EF29" s="1"/>
      <c r="EG29" s="1"/>
      <c r="EH29" s="1"/>
      <c r="EI29" s="1"/>
      <c r="EJ29" s="1">
        <v>1</v>
      </c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>
        <v>2</v>
      </c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>
        <v>2</v>
      </c>
      <c r="GX29" s="1"/>
      <c r="GY29" s="1"/>
      <c r="GZ29" s="1"/>
      <c r="HA29" s="1"/>
      <c r="HB29" s="1"/>
      <c r="HC29" s="1"/>
      <c r="HD29" s="1"/>
      <c r="HE29" s="1"/>
      <c r="HF29" s="1"/>
      <c r="HG29" s="1"/>
    </row>
    <row r="30" spans="2:215" ht="22.5" customHeight="1" x14ac:dyDescent="0.2">
      <c r="B30" s="1" t="s">
        <v>43</v>
      </c>
      <c r="C30" s="1">
        <v>59</v>
      </c>
      <c r="D30" s="1">
        <f t="shared" si="3"/>
        <v>59</v>
      </c>
      <c r="E30" s="1" t="str">
        <f t="shared" si="4"/>
        <v xml:space="preserve"> </v>
      </c>
      <c r="F30" s="1">
        <f t="shared" si="4"/>
        <v>13</v>
      </c>
      <c r="G30" s="1">
        <f t="shared" si="1"/>
        <v>13</v>
      </c>
      <c r="H30" s="1">
        <f t="shared" si="1"/>
        <v>20</v>
      </c>
      <c r="I30" s="1">
        <f t="shared" si="1"/>
        <v>13</v>
      </c>
      <c r="J30" s="1">
        <f t="shared" si="2"/>
        <v>59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>
        <v>1</v>
      </c>
      <c r="DA30" s="1">
        <v>1</v>
      </c>
      <c r="DB30" s="1"/>
      <c r="DC30" s="1"/>
      <c r="DD30" s="1"/>
      <c r="DE30" s="1">
        <v>2</v>
      </c>
      <c r="DF30" s="1">
        <v>2</v>
      </c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>
        <v>1</v>
      </c>
      <c r="DS30" s="1">
        <v>1</v>
      </c>
      <c r="DT30" s="1">
        <v>1</v>
      </c>
      <c r="DU30" s="1"/>
      <c r="DV30" s="1"/>
      <c r="DW30" s="1">
        <v>1</v>
      </c>
      <c r="DX30" s="1">
        <v>1</v>
      </c>
      <c r="DY30" s="1">
        <v>1</v>
      </c>
      <c r="DZ30" s="1"/>
      <c r="EA30" s="1"/>
      <c r="EB30" s="1"/>
      <c r="EC30" s="1"/>
      <c r="ED30" s="1"/>
      <c r="EE30" s="1"/>
      <c r="EF30" s="1"/>
      <c r="EG30" s="1">
        <v>1</v>
      </c>
      <c r="EH30" s="1">
        <v>1</v>
      </c>
      <c r="EI30" s="1">
        <v>1</v>
      </c>
      <c r="EJ30" s="1"/>
      <c r="EK30" s="1"/>
      <c r="EL30" s="1">
        <v>2</v>
      </c>
      <c r="EM30" s="1">
        <v>2</v>
      </c>
      <c r="EN30" s="1">
        <v>2</v>
      </c>
      <c r="EO30" s="1">
        <v>2</v>
      </c>
      <c r="EP30" s="1"/>
      <c r="EQ30" s="1">
        <v>2</v>
      </c>
      <c r="ER30" s="1">
        <v>2</v>
      </c>
      <c r="ES30" s="1">
        <v>2</v>
      </c>
      <c r="ET30" s="1">
        <v>2</v>
      </c>
      <c r="EU30" s="1"/>
      <c r="EV30" s="1"/>
      <c r="EW30" s="1"/>
      <c r="EX30" s="1"/>
      <c r="EY30" s="1"/>
      <c r="EZ30" s="1"/>
      <c r="FA30" s="1">
        <v>2</v>
      </c>
      <c r="FB30" s="1">
        <v>2</v>
      </c>
      <c r="FC30" s="1">
        <v>2</v>
      </c>
      <c r="FD30" s="1">
        <v>2</v>
      </c>
      <c r="FE30" s="1"/>
      <c r="FF30" s="1">
        <v>2</v>
      </c>
      <c r="FG30" s="1">
        <v>2</v>
      </c>
      <c r="FH30" s="1">
        <v>2</v>
      </c>
      <c r="FI30" s="1">
        <v>2</v>
      </c>
      <c r="FJ30" s="1"/>
      <c r="FK30" s="1">
        <v>2</v>
      </c>
      <c r="FL30" s="1">
        <v>2</v>
      </c>
      <c r="FM30" s="1">
        <v>2</v>
      </c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>
        <v>2</v>
      </c>
      <c r="GW30" s="1"/>
      <c r="GX30" s="1"/>
      <c r="GY30" s="1"/>
      <c r="GZ30" s="1"/>
      <c r="HA30" s="1"/>
      <c r="HB30" s="1"/>
      <c r="HC30" s="1"/>
      <c r="HD30" s="1"/>
      <c r="HE30" s="1"/>
      <c r="HF30" s="1">
        <v>2</v>
      </c>
      <c r="HG30" s="1">
        <v>2</v>
      </c>
    </row>
    <row r="31" spans="2:215" ht="22.5" customHeight="1" x14ac:dyDescent="0.2">
      <c r="B31" s="1" t="s">
        <v>44</v>
      </c>
      <c r="C31" s="1">
        <v>56</v>
      </c>
      <c r="D31" s="1">
        <f t="shared" si="3"/>
        <v>56</v>
      </c>
      <c r="E31" s="1" t="str">
        <f t="shared" si="4"/>
        <v xml:space="preserve"> </v>
      </c>
      <c r="F31" s="1">
        <f t="shared" si="4"/>
        <v>12</v>
      </c>
      <c r="G31" s="1">
        <f t="shared" si="1"/>
        <v>12</v>
      </c>
      <c r="H31" s="1">
        <f t="shared" si="1"/>
        <v>16</v>
      </c>
      <c r="I31" s="1">
        <f t="shared" si="1"/>
        <v>16</v>
      </c>
      <c r="J31" s="1">
        <f t="shared" si="2"/>
        <v>56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>
        <v>2</v>
      </c>
      <c r="AL31" s="1">
        <v>2</v>
      </c>
      <c r="AM31" s="1">
        <v>2</v>
      </c>
      <c r="AN31" s="1">
        <v>2</v>
      </c>
      <c r="AO31" s="1"/>
      <c r="AP31" s="1">
        <v>2</v>
      </c>
      <c r="AQ31" s="1">
        <v>2</v>
      </c>
      <c r="AR31" s="1">
        <v>2</v>
      </c>
      <c r="AS31" s="1">
        <v>2</v>
      </c>
      <c r="AT31" s="1"/>
      <c r="AU31" s="1">
        <v>2</v>
      </c>
      <c r="AV31" s="1">
        <v>2</v>
      </c>
      <c r="AW31" s="1">
        <v>2</v>
      </c>
      <c r="AX31" s="1">
        <v>2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>
        <v>2</v>
      </c>
      <c r="BK31" s="1">
        <v>2</v>
      </c>
      <c r="BL31" s="1">
        <v>2</v>
      </c>
      <c r="BM31" s="1">
        <v>2</v>
      </c>
      <c r="BN31" s="1"/>
      <c r="BO31" s="1">
        <v>2</v>
      </c>
      <c r="BP31" s="1">
        <v>2</v>
      </c>
      <c r="BQ31" s="1">
        <v>2</v>
      </c>
      <c r="BR31" s="1">
        <v>2</v>
      </c>
      <c r="BS31" s="1"/>
      <c r="BT31" s="1"/>
      <c r="BU31" s="1"/>
      <c r="BV31" s="1"/>
      <c r="BW31" s="1"/>
      <c r="BX31" s="1"/>
      <c r="BY31" s="1"/>
      <c r="BZ31" s="1"/>
      <c r="CA31" s="1">
        <v>2</v>
      </c>
      <c r="CB31" s="1">
        <v>2</v>
      </c>
      <c r="CC31" s="1"/>
      <c r="CD31" s="1"/>
      <c r="CE31" s="1"/>
      <c r="CF31" s="1"/>
      <c r="CG31" s="1"/>
      <c r="CH31" s="1"/>
      <c r="CI31" s="1">
        <v>2</v>
      </c>
      <c r="CJ31" s="1">
        <v>2</v>
      </c>
      <c r="CK31" s="1">
        <v>2</v>
      </c>
      <c r="CL31" s="1">
        <v>2</v>
      </c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>
        <v>2</v>
      </c>
      <c r="FX31" s="1">
        <v>2</v>
      </c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</row>
  </sheetData>
  <mergeCells count="47">
    <mergeCell ref="B1:J1"/>
    <mergeCell ref="E2:E3"/>
    <mergeCell ref="F2:F3"/>
    <mergeCell ref="G2:G3"/>
    <mergeCell ref="H2:H3"/>
    <mergeCell ref="I2:I3"/>
    <mergeCell ref="GI2:GM2"/>
    <mergeCell ref="GN2:GR2"/>
    <mergeCell ref="GS2:GW2"/>
    <mergeCell ref="GX2:HB2"/>
    <mergeCell ref="EA2:EE2"/>
    <mergeCell ref="EF2:EJ2"/>
    <mergeCell ref="EK2:EO2"/>
    <mergeCell ref="EP2:ET2"/>
    <mergeCell ref="EU2:EY2"/>
    <mergeCell ref="EZ2:FD2"/>
    <mergeCell ref="CW2:DA2"/>
    <mergeCell ref="DB2:DF2"/>
    <mergeCell ref="DG2:DK2"/>
    <mergeCell ref="DL2:DP2"/>
    <mergeCell ref="DQ2:DU2"/>
    <mergeCell ref="HC2:HG2"/>
    <mergeCell ref="FE2:FI2"/>
    <mergeCell ref="FJ2:FN2"/>
    <mergeCell ref="FO2:FS2"/>
    <mergeCell ref="FT2:FX2"/>
    <mergeCell ref="FY2:GC2"/>
    <mergeCell ref="GD2:GH2"/>
    <mergeCell ref="DV2:DZ2"/>
    <mergeCell ref="BS2:BW2"/>
    <mergeCell ref="BX2:CB2"/>
    <mergeCell ref="CC2:CG2"/>
    <mergeCell ref="CH2:CL2"/>
    <mergeCell ref="CM2:CQ2"/>
    <mergeCell ref="CR2:CV2"/>
    <mergeCell ref="BN2:BR2"/>
    <mergeCell ref="K2:O2"/>
    <mergeCell ref="P2:T2"/>
    <mergeCell ref="U2:Y2"/>
    <mergeCell ref="Z2:AD2"/>
    <mergeCell ref="AE2:AI2"/>
    <mergeCell ref="AJ2:AN2"/>
    <mergeCell ref="AO2:AS2"/>
    <mergeCell ref="AT2:AX2"/>
    <mergeCell ref="AY2:BC2"/>
    <mergeCell ref="BD2:BH2"/>
    <mergeCell ref="BI2:BM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 wang</cp:lastModifiedBy>
  <cp:lastPrinted>2026-05-05T07:46:09Z</cp:lastPrinted>
  <dcterms:created xsi:type="dcterms:W3CDTF">2015-06-05T18:19:00Z</dcterms:created>
  <dcterms:modified xsi:type="dcterms:W3CDTF">2026-07-18T08:31:41Z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64DD44A973EB48799BF65D74F3CF5433_12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