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B材料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mm钢板&quot;"/>
    <numFmt numFmtId="165" formatCode="0&quot;方管&quot;"/>
    <numFmt numFmtId="166" formatCode="0&quot;mm厚&quot;"/>
    <numFmt numFmtId="167" formatCode="&quot;总长&quot;0&quot;mm&quot;"/>
    <numFmt numFmtId="168" formatCode="&quot;备&quot;0&quot;根12米&quot;"/>
    <numFmt numFmtId="169" formatCode="&quot;共&quot;0&quot;件BRB产品&quot;"/>
  </numFmts>
  <fonts count="3">
    <font>
      <name val="Calibri"/>
      <family val="2"/>
      <color theme="1"/>
      <sz val="11"/>
      <scheme val="minor"/>
    </font>
    <font>
      <name val="宋体"/>
      <sz val="16"/>
    </font>
    <font>
      <name val="宋体"/>
      <sz val="12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/>
    </border>
    <border>
      <left style="thin"/>
      <right style="thin"/>
      <top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bottom" wrapText="1"/>
    </xf>
    <xf numFmtId="0" fontId="0" fillId="2" borderId="1" pivotButton="0" quotePrefix="0" xfId="0"/>
    <xf numFmtId="0" fontId="2" fillId="2" borderId="2" applyAlignment="1" pivotButton="0" quotePrefix="0" xfId="0">
      <alignment horizontal="right" vertical="center"/>
    </xf>
    <xf numFmtId="0" fontId="0" fillId="2" borderId="2" pivotButton="0" quotePrefix="0" xfId="0"/>
    <xf numFmtId="0" fontId="2" fillId="0" borderId="3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65" fontId="2" fillId="0" borderId="3" applyAlignment="1" pivotButton="0" quotePrefix="0" xfId="0">
      <alignment horizontal="center" vertical="center" wrapText="1"/>
    </xf>
    <xf numFmtId="166" fontId="2" fillId="0" borderId="3" applyAlignment="1" pivotButton="0" quotePrefix="0" xfId="0">
      <alignment horizontal="center" vertical="center" wrapText="1"/>
    </xf>
    <xf numFmtId="167" fontId="2" fillId="0" borderId="3" applyAlignment="1" pivotButton="0" quotePrefix="0" xfId="0">
      <alignment horizontal="center" vertical="center" wrapText="1"/>
    </xf>
    <xf numFmtId="168" fontId="2" fillId="0" borderId="3" applyAlignment="1" pivotButton="0" quotePrefix="0" xfId="0">
      <alignment horizontal="center" vertical="center" wrapText="1"/>
    </xf>
    <xf numFmtId="169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cols>
    <col width="6.25" customWidth="1" min="1" max="1"/>
    <col width="9" customWidth="1" min="2" max="2"/>
    <col width="7.87" customWidth="1" min="3" max="3"/>
    <col width="8.119999999999999" customWidth="1" min="4" max="4"/>
    <col width="5.12" customWidth="1" min="5" max="5"/>
    <col width="6.12" customWidth="1" min="6" max="6"/>
    <col width="9" customWidth="1" min="7" max="7"/>
    <col width="5.62" customWidth="1" min="8" max="8"/>
    <col width="9.369999999999999" customWidth="1" min="9" max="9"/>
    <col width="11.62" customWidth="1" min="10" max="10"/>
    <col width="9.119999999999999" customWidth="1" min="11" max="11"/>
  </cols>
  <sheetData>
    <row r="1" ht="35" customHeight="1">
      <c r="A1" s="1" t="inlineStr">
        <is>
          <t>北京第二实验中学BRB材料单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 ht="15" customHeight="1">
      <c r="A2" s="3" t="inlineStr">
        <is>
          <t>2026年05月06日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 ht="15" customHeight="1">
      <c r="A3" s="5" t="inlineStr">
        <is>
          <t>序号</t>
        </is>
      </c>
      <c r="B3" s="5" t="inlineStr">
        <is>
          <t>型号</t>
        </is>
      </c>
      <c r="C3" s="5" t="n"/>
      <c r="D3" s="5" t="inlineStr">
        <is>
          <t>名称</t>
        </is>
      </c>
      <c r="E3" s="5" t="inlineStr">
        <is>
          <t>规格</t>
        </is>
      </c>
      <c r="F3" s="5" t="n"/>
      <c r="G3" s="5" t="n"/>
      <c r="H3" s="5" t="inlineStr">
        <is>
          <t>数量</t>
        </is>
      </c>
      <c r="I3" s="5" t="inlineStr">
        <is>
          <t>单重(Kg)</t>
        </is>
      </c>
      <c r="J3" s="5" t="inlineStr">
        <is>
          <t>总重(Kg)</t>
        </is>
      </c>
      <c r="K3" s="5" t="inlineStr">
        <is>
          <t>备注</t>
        </is>
      </c>
    </row>
    <row r="4" ht="28.5" customHeight="1">
      <c r="A4" s="5" t="n"/>
      <c r="B4" s="5" t="inlineStr">
        <is>
          <t>屈服荷载(KN)</t>
        </is>
      </c>
      <c r="C4" s="5" t="inlineStr">
        <is>
          <t>长度(mm)</t>
        </is>
      </c>
      <c r="D4" s="5" t="n"/>
      <c r="E4" s="5" t="inlineStr">
        <is>
          <t>厚</t>
        </is>
      </c>
      <c r="F4" s="5" t="inlineStr">
        <is>
          <t>宽</t>
        </is>
      </c>
      <c r="G4" s="5" t="inlineStr">
        <is>
          <t>长</t>
        </is>
      </c>
      <c r="H4" s="5" t="n"/>
      <c r="I4" s="5" t="n"/>
      <c r="J4" s="5" t="n"/>
      <c r="K4" s="5" t="n"/>
    </row>
    <row r="5" ht="14.25" customHeight="1">
      <c r="A5" s="5" t="inlineStr">
        <is>
          <t>1</t>
        </is>
      </c>
      <c r="B5" s="5" t="n">
        <v>2000</v>
      </c>
      <c r="C5" s="5" t="n">
        <v>5300</v>
      </c>
      <c r="D5" s="5" t="inlineStr">
        <is>
          <t>芯板</t>
        </is>
      </c>
      <c r="E5" s="5" t="n">
        <v>20</v>
      </c>
      <c r="F5" s="5" t="n">
        <v>110</v>
      </c>
      <c r="G5" s="5">
        <f>C5</f>
        <v/>
      </c>
      <c r="H5" s="5" t="n">
        <v>1</v>
      </c>
      <c r="I5" s="6">
        <f>E5*F5*G5*0.00000785</f>
        <v/>
      </c>
      <c r="J5" s="6">
        <f>I5*H5</f>
        <v/>
      </c>
      <c r="K5" s="5" t="inlineStr">
        <is>
          <t>LY225</t>
        </is>
      </c>
    </row>
    <row r="6" ht="14.25" customHeight="1">
      <c r="A6" s="5" t="inlineStr">
        <is>
          <t>2</t>
        </is>
      </c>
      <c r="B6" s="5" t="n"/>
      <c r="C6" s="5" t="n"/>
      <c r="D6" s="5" t="inlineStr">
        <is>
          <t>翼缘板1</t>
        </is>
      </c>
      <c r="E6" s="5" t="n">
        <v>20</v>
      </c>
      <c r="F6" s="5" t="n">
        <v>150</v>
      </c>
      <c r="G6" s="5" t="inlineStr">
        <is>
          <t>300</t>
        </is>
      </c>
      <c r="H6" s="5" t="n">
        <v>4</v>
      </c>
      <c r="I6" s="6">
        <f>E6*F6*G6*0.00000785</f>
        <v/>
      </c>
      <c r="J6" s="6">
        <f>I6*H6</f>
        <v/>
      </c>
      <c r="K6" s="5" t="inlineStr">
        <is>
          <t>LY225</t>
        </is>
      </c>
    </row>
    <row r="7" ht="14.25" customHeight="1">
      <c r="A7" s="5" t="inlineStr">
        <is>
          <t>3</t>
        </is>
      </c>
      <c r="B7" s="5" t="n"/>
      <c r="C7" s="5" t="n"/>
      <c r="D7" s="5" t="inlineStr">
        <is>
          <t>翼缘板2</t>
        </is>
      </c>
      <c r="E7" s="5" t="n">
        <v>20</v>
      </c>
      <c r="F7" s="5" t="n">
        <v>65</v>
      </c>
      <c r="G7" s="5" t="inlineStr">
        <is>
          <t>300</t>
        </is>
      </c>
      <c r="H7" s="5" t="n">
        <v>4</v>
      </c>
      <c r="I7" s="6">
        <f>E7*F7*G7*0.00000785</f>
        <v/>
      </c>
      <c r="J7" s="6">
        <f>I7*H7</f>
        <v/>
      </c>
      <c r="K7" s="5" t="inlineStr">
        <is>
          <t>LY225</t>
        </is>
      </c>
    </row>
    <row r="8" ht="14.25" customHeight="1">
      <c r="A8" s="5" t="inlineStr">
        <is>
          <t>4</t>
        </is>
      </c>
      <c r="B8" s="5" t="n"/>
      <c r="C8" s="5" t="n"/>
      <c r="D8" s="5" t="inlineStr">
        <is>
          <t>挡板</t>
        </is>
      </c>
      <c r="E8" s="5" t="n">
        <v>6</v>
      </c>
      <c r="F8" s="5" t="n">
        <v>270</v>
      </c>
      <c r="G8" s="5">
        <f>f8</f>
        <v/>
      </c>
      <c r="H8" s="5" t="n">
        <v>2</v>
      </c>
      <c r="I8" s="6">
        <f>E8*F8*G8*0.00000785</f>
        <v/>
      </c>
      <c r="J8" s="6">
        <f>I8*H8</f>
        <v/>
      </c>
      <c r="K8" s="5" t="inlineStr">
        <is>
          <t>Q235B</t>
        </is>
      </c>
    </row>
    <row r="9" ht="14.25" customHeight="1">
      <c r="A9" s="5" t="inlineStr">
        <is>
          <t>5</t>
        </is>
      </c>
      <c r="B9" s="5" t="n"/>
      <c r="C9" s="5" t="n"/>
      <c r="D9" s="5" t="inlineStr">
        <is>
          <t>方管</t>
        </is>
      </c>
      <c r="E9" s="5" t="n">
        <v>4</v>
      </c>
      <c r="F9" s="5" t="n">
        <v>1000</v>
      </c>
      <c r="G9" s="5">
        <f>C5-300</f>
        <v/>
      </c>
      <c r="H9" s="5" t="n">
        <v>1</v>
      </c>
      <c r="I9" s="6">
        <f>E9*F9*G9*0.00000785</f>
        <v/>
      </c>
      <c r="J9" s="6">
        <f>I9*H9</f>
        <v/>
      </c>
      <c r="K9" s="5" t="n"/>
    </row>
    <row r="10" ht="14.25" customHeight="1">
      <c r="A10" s="5" t="inlineStr">
        <is>
          <t>钢材合计：</t>
        </is>
      </c>
      <c r="B10" s="7" t="n"/>
      <c r="C10" s="7" t="n"/>
      <c r="D10" s="7" t="n"/>
      <c r="E10" s="7" t="n"/>
      <c r="F10" s="7" t="n"/>
      <c r="G10" s="7" t="n"/>
      <c r="H10" s="5" t="n"/>
      <c r="I10" s="6">
        <f>J10/1</f>
        <v/>
      </c>
      <c r="J10" s="6">
        <f>SUM(J5:J9)</f>
        <v/>
      </c>
      <c r="K10" s="5" t="inlineStr">
        <is>
          <t>王字</t>
        </is>
      </c>
    </row>
    <row r="11" ht="14.25" customHeight="1">
      <c r="A11" s="5" t="inlineStr">
        <is>
          <t>6</t>
        </is>
      </c>
      <c r="B11" s="5" t="inlineStr">
        <is>
          <t>灌浆</t>
        </is>
      </c>
      <c r="C11" s="5" t="n"/>
      <c r="D11" s="5" t="n"/>
      <c r="E11" s="5" t="n">
        <v>250</v>
      </c>
      <c r="F11" s="5" t="n">
        <v>250</v>
      </c>
      <c r="G11" s="5">
        <f>C5-300</f>
        <v/>
      </c>
      <c r="H11" s="5" t="n">
        <v>1</v>
      </c>
      <c r="I11" s="6">
        <f>E11*F11*G11*0.00000210</f>
        <v/>
      </c>
      <c r="J11" s="6">
        <f>I11*H11</f>
        <v/>
      </c>
      <c r="K11" s="7" t="n"/>
    </row>
    <row r="12" ht="14.25" customHeight="1">
      <c r="A12" s="5" t="inlineStr">
        <is>
          <t>7</t>
        </is>
      </c>
      <c r="B12" s="5" t="inlineStr">
        <is>
          <t>合计</t>
        </is>
      </c>
      <c r="C12" s="5" t="n"/>
      <c r="D12" s="5" t="n"/>
      <c r="E12" s="5" t="n"/>
      <c r="F12" s="5" t="n"/>
      <c r="G12" s="5" t="n"/>
      <c r="H12" s="5" t="n"/>
      <c r="I12" s="5" t="n"/>
      <c r="J12" s="6">
        <f>SUM(J10:J11)</f>
        <v/>
      </c>
      <c r="K12" s="7" t="n"/>
    </row>
    <row r="13" ht="14.25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</row>
    <row r="14" ht="15" customHeight="1">
      <c r="A14" s="5" t="inlineStr">
        <is>
          <t>序号</t>
        </is>
      </c>
      <c r="B14" s="5" t="inlineStr">
        <is>
          <t>型号</t>
        </is>
      </c>
      <c r="C14" s="5" t="n"/>
      <c r="D14" s="5" t="inlineStr">
        <is>
          <t>名称</t>
        </is>
      </c>
      <c r="E14" s="5" t="inlineStr">
        <is>
          <t>规格</t>
        </is>
      </c>
      <c r="F14" s="5" t="n"/>
      <c r="G14" s="5" t="n"/>
      <c r="H14" s="5" t="inlineStr">
        <is>
          <t>数量</t>
        </is>
      </c>
      <c r="I14" s="5" t="inlineStr">
        <is>
          <t>单重(Kg)</t>
        </is>
      </c>
      <c r="J14" s="5" t="inlineStr">
        <is>
          <t>总重(Kg)</t>
        </is>
      </c>
      <c r="K14" s="5" t="inlineStr">
        <is>
          <t>备注</t>
        </is>
      </c>
    </row>
    <row r="15" ht="28.5" customHeight="1">
      <c r="A15" s="5" t="n"/>
      <c r="B15" s="5" t="inlineStr">
        <is>
          <t>屈服荷载(KN)</t>
        </is>
      </c>
      <c r="C15" s="5" t="inlineStr">
        <is>
          <t>长度(mm)</t>
        </is>
      </c>
      <c r="D15" s="5" t="n"/>
      <c r="E15" s="5" t="inlineStr">
        <is>
          <t>厚</t>
        </is>
      </c>
      <c r="F15" s="5" t="inlineStr">
        <is>
          <t>宽</t>
        </is>
      </c>
      <c r="G15" s="5" t="inlineStr">
        <is>
          <t>长</t>
        </is>
      </c>
      <c r="H15" s="5" t="n"/>
      <c r="I15" s="5" t="n"/>
      <c r="J15" s="5" t="n"/>
      <c r="K15" s="5" t="n"/>
    </row>
    <row r="16" ht="14.25" customHeight="1">
      <c r="A16" s="5" t="inlineStr">
        <is>
          <t>1</t>
        </is>
      </c>
      <c r="B16" s="5" t="n">
        <v>2000</v>
      </c>
      <c r="C16" s="5" t="n">
        <v>3000</v>
      </c>
      <c r="D16" s="5" t="inlineStr">
        <is>
          <t>芯板</t>
        </is>
      </c>
      <c r="E16" s="5" t="n">
        <v>20</v>
      </c>
      <c r="F16" s="5" t="n">
        <v>110</v>
      </c>
      <c r="G16" s="5">
        <f>C16</f>
        <v/>
      </c>
      <c r="H16" s="5" t="n">
        <v>6</v>
      </c>
      <c r="I16" s="6">
        <f>E16*F16*G16*0.00000785</f>
        <v/>
      </c>
      <c r="J16" s="6">
        <f>I16*H16</f>
        <v/>
      </c>
      <c r="K16" s="5" t="inlineStr">
        <is>
          <t>LY225</t>
        </is>
      </c>
    </row>
    <row r="17" ht="14.25" customHeight="1">
      <c r="A17" s="5" t="inlineStr">
        <is>
          <t>2</t>
        </is>
      </c>
      <c r="B17" s="5" t="n"/>
      <c r="C17" s="5" t="n"/>
      <c r="D17" s="5" t="inlineStr">
        <is>
          <t>翼缘板1</t>
        </is>
      </c>
      <c r="E17" s="5" t="n">
        <v>20</v>
      </c>
      <c r="F17" s="5" t="n">
        <v>150</v>
      </c>
      <c r="G17" s="5" t="inlineStr">
        <is>
          <t>300</t>
        </is>
      </c>
      <c r="H17" s="5" t="n">
        <v>24</v>
      </c>
      <c r="I17" s="6">
        <f>E17*F17*G17*0.00000785</f>
        <v/>
      </c>
      <c r="J17" s="6">
        <f>I17*H17</f>
        <v/>
      </c>
      <c r="K17" s="5" t="inlineStr">
        <is>
          <t>LY225</t>
        </is>
      </c>
    </row>
    <row r="18" ht="14.25" customHeight="1">
      <c r="A18" s="5" t="inlineStr">
        <is>
          <t>3</t>
        </is>
      </c>
      <c r="B18" s="5" t="n"/>
      <c r="C18" s="5" t="n"/>
      <c r="D18" s="5" t="inlineStr">
        <is>
          <t>翼缘板2</t>
        </is>
      </c>
      <c r="E18" s="5" t="n">
        <v>20</v>
      </c>
      <c r="F18" s="5" t="n">
        <v>65</v>
      </c>
      <c r="G18" s="5" t="inlineStr">
        <is>
          <t>300</t>
        </is>
      </c>
      <c r="H18" s="5" t="n">
        <v>24</v>
      </c>
      <c r="I18" s="6">
        <f>E18*F18*G18*0.00000785</f>
        <v/>
      </c>
      <c r="J18" s="6">
        <f>I18*H18</f>
        <v/>
      </c>
      <c r="K18" s="5" t="inlineStr">
        <is>
          <t>LY225</t>
        </is>
      </c>
    </row>
    <row r="19" ht="14.25" customHeight="1">
      <c r="A19" s="5" t="inlineStr">
        <is>
          <t>4</t>
        </is>
      </c>
      <c r="B19" s="5" t="n"/>
      <c r="C19" s="5" t="n"/>
      <c r="D19" s="5" t="inlineStr">
        <is>
          <t>挡板</t>
        </is>
      </c>
      <c r="E19" s="5" t="n">
        <v>6</v>
      </c>
      <c r="F19" s="5" t="n">
        <v>215</v>
      </c>
      <c r="G19" s="5">
        <f>f19</f>
        <v/>
      </c>
      <c r="H19" s="5" t="n">
        <v>12</v>
      </c>
      <c r="I19" s="6">
        <f>E19*F19*G19*0.00000785</f>
        <v/>
      </c>
      <c r="J19" s="6">
        <f>I19*H19</f>
        <v/>
      </c>
      <c r="K19" s="5" t="inlineStr">
        <is>
          <t>Q235B</t>
        </is>
      </c>
    </row>
    <row r="20" ht="14.25" customHeight="1">
      <c r="A20" s="5" t="inlineStr">
        <is>
          <t>5</t>
        </is>
      </c>
      <c r="B20" s="5" t="n"/>
      <c r="C20" s="5" t="n"/>
      <c r="D20" s="5" t="inlineStr">
        <is>
          <t>方管</t>
        </is>
      </c>
      <c r="E20" s="5" t="n">
        <v>4</v>
      </c>
      <c r="F20" s="5" t="n">
        <v>800</v>
      </c>
      <c r="G20" s="5">
        <f>C16-300</f>
        <v/>
      </c>
      <c r="H20" s="5" t="n">
        <v>6</v>
      </c>
      <c r="I20" s="6">
        <f>E20*F20*G20*0.00000785</f>
        <v/>
      </c>
      <c r="J20" s="6">
        <f>I20*H20</f>
        <v/>
      </c>
      <c r="K20" s="5" t="n"/>
    </row>
    <row r="21" ht="14.25" customHeight="1">
      <c r="A21" s="5" t="inlineStr">
        <is>
          <t>钢材合计：</t>
        </is>
      </c>
      <c r="B21" s="7" t="n"/>
      <c r="C21" s="7" t="n"/>
      <c r="D21" s="7" t="n"/>
      <c r="E21" s="7" t="n"/>
      <c r="F21" s="7" t="n"/>
      <c r="G21" s="7" t="n"/>
      <c r="H21" s="5" t="n"/>
      <c r="I21" s="6">
        <f>J21/6</f>
        <v/>
      </c>
      <c r="J21" s="6">
        <f>SUM(J16:J20)</f>
        <v/>
      </c>
      <c r="K21" s="5" t="inlineStr">
        <is>
          <t>王字</t>
        </is>
      </c>
    </row>
    <row r="22" ht="14.25" customHeight="1">
      <c r="A22" s="5" t="inlineStr">
        <is>
          <t>6</t>
        </is>
      </c>
      <c r="B22" s="5" t="inlineStr">
        <is>
          <t>灌浆</t>
        </is>
      </c>
      <c r="C22" s="5" t="n"/>
      <c r="D22" s="5" t="n"/>
      <c r="E22" s="5" t="n">
        <v>200</v>
      </c>
      <c r="F22" s="5" t="n">
        <v>200</v>
      </c>
      <c r="G22" s="5">
        <f>C16-300</f>
        <v/>
      </c>
      <c r="H22" s="5" t="n">
        <v>6</v>
      </c>
      <c r="I22" s="6">
        <f>E22*F22*G22*0.00000210</f>
        <v/>
      </c>
      <c r="J22" s="6">
        <f>I22*H22</f>
        <v/>
      </c>
      <c r="K22" s="7" t="n"/>
    </row>
    <row r="23" ht="14.25" customHeight="1">
      <c r="A23" s="5" t="inlineStr">
        <is>
          <t>7</t>
        </is>
      </c>
      <c r="B23" s="5" t="inlineStr">
        <is>
          <t>合计</t>
        </is>
      </c>
      <c r="C23" s="5" t="n"/>
      <c r="D23" s="5" t="n"/>
      <c r="E23" s="5" t="n"/>
      <c r="F23" s="5" t="n"/>
      <c r="G23" s="5" t="n"/>
      <c r="H23" s="5" t="n"/>
      <c r="I23" s="5" t="n"/>
      <c r="J23" s="6">
        <f>SUM(J21:J22)</f>
        <v/>
      </c>
      <c r="K23" s="7" t="n"/>
    </row>
    <row r="24" ht="14.25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</row>
    <row r="25" ht="15" customHeight="1">
      <c r="A25" s="5" t="inlineStr">
        <is>
          <t>序号</t>
        </is>
      </c>
      <c r="B25" s="5" t="inlineStr">
        <is>
          <t>型号</t>
        </is>
      </c>
      <c r="C25" s="5" t="n"/>
      <c r="D25" s="5" t="inlineStr">
        <is>
          <t>名称</t>
        </is>
      </c>
      <c r="E25" s="5" t="inlineStr">
        <is>
          <t>规格</t>
        </is>
      </c>
      <c r="F25" s="5" t="n"/>
      <c r="G25" s="5" t="n"/>
      <c r="H25" s="5" t="inlineStr">
        <is>
          <t>数量</t>
        </is>
      </c>
      <c r="I25" s="5" t="inlineStr">
        <is>
          <t>单重(Kg)</t>
        </is>
      </c>
      <c r="J25" s="5" t="inlineStr">
        <is>
          <t>总重(Kg)</t>
        </is>
      </c>
      <c r="K25" s="5" t="inlineStr">
        <is>
          <t>备注</t>
        </is>
      </c>
    </row>
    <row r="26" ht="28.5" customHeight="1">
      <c r="A26" s="5" t="n"/>
      <c r="B26" s="5" t="inlineStr">
        <is>
          <t>屈服荷载(KN)</t>
        </is>
      </c>
      <c r="C26" s="5" t="inlineStr">
        <is>
          <t>长度(mm)</t>
        </is>
      </c>
      <c r="D26" s="5" t="n"/>
      <c r="E26" s="5" t="inlineStr">
        <is>
          <t>厚</t>
        </is>
      </c>
      <c r="F26" s="5" t="inlineStr">
        <is>
          <t>宽</t>
        </is>
      </c>
      <c r="G26" s="5" t="inlineStr">
        <is>
          <t>长</t>
        </is>
      </c>
      <c r="H26" s="5" t="n"/>
      <c r="I26" s="5" t="n"/>
      <c r="J26" s="5" t="n"/>
      <c r="K26" s="5" t="n"/>
    </row>
    <row r="27" ht="14.25" customHeight="1">
      <c r="A27" s="5" t="inlineStr">
        <is>
          <t>1</t>
        </is>
      </c>
      <c r="B27" s="5" t="n">
        <v>2000</v>
      </c>
      <c r="C27" s="5" t="n">
        <v>2700</v>
      </c>
      <c r="D27" s="5" t="inlineStr">
        <is>
          <t>芯板</t>
        </is>
      </c>
      <c r="E27" s="5" t="n">
        <v>20</v>
      </c>
      <c r="F27" s="5" t="n">
        <v>110</v>
      </c>
      <c r="G27" s="5">
        <f>C27</f>
        <v/>
      </c>
      <c r="H27" s="5" t="n">
        <v>88</v>
      </c>
      <c r="I27" s="6">
        <f>E27*F27*G27*0.00000785</f>
        <v/>
      </c>
      <c r="J27" s="6">
        <f>I27*H27</f>
        <v/>
      </c>
      <c r="K27" s="5" t="inlineStr">
        <is>
          <t>LY225</t>
        </is>
      </c>
    </row>
    <row r="28" ht="14.25" customHeight="1">
      <c r="A28" s="5" t="inlineStr">
        <is>
          <t>2</t>
        </is>
      </c>
      <c r="B28" s="5" t="n"/>
      <c r="C28" s="5" t="n"/>
      <c r="D28" s="5" t="inlineStr">
        <is>
          <t>翼缘板1</t>
        </is>
      </c>
      <c r="E28" s="5" t="n">
        <v>20</v>
      </c>
      <c r="F28" s="5" t="n">
        <v>150</v>
      </c>
      <c r="G28" s="5" t="inlineStr">
        <is>
          <t>300</t>
        </is>
      </c>
      <c r="H28" s="5" t="n">
        <v>352</v>
      </c>
      <c r="I28" s="6">
        <f>E28*F28*G28*0.00000785</f>
        <v/>
      </c>
      <c r="J28" s="6">
        <f>I28*H28</f>
        <v/>
      </c>
      <c r="K28" s="5" t="inlineStr">
        <is>
          <t>LY225</t>
        </is>
      </c>
    </row>
    <row r="29" ht="14.25" customHeight="1">
      <c r="A29" s="5" t="inlineStr">
        <is>
          <t>3</t>
        </is>
      </c>
      <c r="B29" s="5" t="n"/>
      <c r="C29" s="5" t="n"/>
      <c r="D29" s="5" t="inlineStr">
        <is>
          <t>翼缘板2</t>
        </is>
      </c>
      <c r="E29" s="5" t="n">
        <v>20</v>
      </c>
      <c r="F29" s="5" t="n">
        <v>65</v>
      </c>
      <c r="G29" s="5" t="inlineStr">
        <is>
          <t>300</t>
        </is>
      </c>
      <c r="H29" s="5" t="n">
        <v>352</v>
      </c>
      <c r="I29" s="6">
        <f>E29*F29*G29*0.00000785</f>
        <v/>
      </c>
      <c r="J29" s="6">
        <f>I29*H29</f>
        <v/>
      </c>
      <c r="K29" s="5" t="inlineStr">
        <is>
          <t>LY225</t>
        </is>
      </c>
    </row>
    <row r="30" ht="14.25" customHeight="1">
      <c r="A30" s="5" t="inlineStr">
        <is>
          <t>4</t>
        </is>
      </c>
      <c r="B30" s="5" t="n"/>
      <c r="C30" s="5" t="n"/>
      <c r="D30" s="5" t="inlineStr">
        <is>
          <t>挡板</t>
        </is>
      </c>
      <c r="E30" s="5" t="n">
        <v>6</v>
      </c>
      <c r="F30" s="5" t="n">
        <v>215</v>
      </c>
      <c r="G30" s="5">
        <f>f30</f>
        <v/>
      </c>
      <c r="H30" s="5" t="n">
        <v>176</v>
      </c>
      <c r="I30" s="6">
        <f>E30*F30*G30*0.00000785</f>
        <v/>
      </c>
      <c r="J30" s="6">
        <f>I30*H30</f>
        <v/>
      </c>
      <c r="K30" s="5" t="inlineStr">
        <is>
          <t>Q235B</t>
        </is>
      </c>
    </row>
    <row r="31" ht="14.25" customHeight="1">
      <c r="A31" s="5" t="inlineStr">
        <is>
          <t>5</t>
        </is>
      </c>
      <c r="B31" s="5" t="n"/>
      <c r="C31" s="5" t="n"/>
      <c r="D31" s="5" t="inlineStr">
        <is>
          <t>方管</t>
        </is>
      </c>
      <c r="E31" s="5" t="n">
        <v>4</v>
      </c>
      <c r="F31" s="5" t="n">
        <v>800</v>
      </c>
      <c r="G31" s="5">
        <f>C27-300</f>
        <v/>
      </c>
      <c r="H31" s="5" t="n">
        <v>88</v>
      </c>
      <c r="I31" s="6">
        <f>E31*F31*G31*0.00000785</f>
        <v/>
      </c>
      <c r="J31" s="6">
        <f>I31*H31</f>
        <v/>
      </c>
      <c r="K31" s="5" t="n"/>
    </row>
    <row r="32" ht="14.25" customHeight="1">
      <c r="A32" s="5" t="inlineStr">
        <is>
          <t>钢材合计：</t>
        </is>
      </c>
      <c r="B32" s="7" t="n"/>
      <c r="C32" s="7" t="n"/>
      <c r="D32" s="7" t="n"/>
      <c r="E32" s="7" t="n"/>
      <c r="F32" s="7" t="n"/>
      <c r="G32" s="7" t="n"/>
      <c r="H32" s="5" t="n"/>
      <c r="I32" s="6">
        <f>J32/88</f>
        <v/>
      </c>
      <c r="J32" s="6">
        <f>SUM(J27:J31)</f>
        <v/>
      </c>
      <c r="K32" s="5" t="inlineStr">
        <is>
          <t>王字</t>
        </is>
      </c>
    </row>
    <row r="33" ht="14.25" customHeight="1">
      <c r="A33" s="5" t="inlineStr">
        <is>
          <t>6</t>
        </is>
      </c>
      <c r="B33" s="5" t="inlineStr">
        <is>
          <t>灌浆</t>
        </is>
      </c>
      <c r="C33" s="5" t="n"/>
      <c r="D33" s="5" t="n"/>
      <c r="E33" s="5" t="n">
        <v>200</v>
      </c>
      <c r="F33" s="5" t="n">
        <v>200</v>
      </c>
      <c r="G33" s="5">
        <f>C27-300</f>
        <v/>
      </c>
      <c r="H33" s="5" t="n">
        <v>88</v>
      </c>
      <c r="I33" s="6">
        <f>E33*F33*G33*0.00000210</f>
        <v/>
      </c>
      <c r="J33" s="6">
        <f>I33*H33</f>
        <v/>
      </c>
      <c r="K33" s="7" t="n"/>
    </row>
    <row r="34" ht="14.25" customHeight="1">
      <c r="A34" s="5" t="inlineStr">
        <is>
          <t>7</t>
        </is>
      </c>
      <c r="B34" s="5" t="inlineStr">
        <is>
          <t>合计</t>
        </is>
      </c>
      <c r="C34" s="5" t="n"/>
      <c r="D34" s="5" t="n"/>
      <c r="E34" s="5" t="n"/>
      <c r="F34" s="5" t="n"/>
      <c r="G34" s="5" t="n"/>
      <c r="H34" s="5" t="n"/>
      <c r="I34" s="5" t="n"/>
      <c r="J34" s="6">
        <f>SUM(J32:J33)</f>
        <v/>
      </c>
      <c r="K34" s="7" t="n"/>
    </row>
    <row r="35" ht="14.25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</row>
    <row r="36" ht="15" customHeight="1">
      <c r="A36" s="5" t="inlineStr">
        <is>
          <t>序号</t>
        </is>
      </c>
      <c r="B36" s="5" t="inlineStr">
        <is>
          <t>型号</t>
        </is>
      </c>
      <c r="C36" s="5" t="n"/>
      <c r="D36" s="5" t="inlineStr">
        <is>
          <t>名称</t>
        </is>
      </c>
      <c r="E36" s="5" t="inlineStr">
        <is>
          <t>规格</t>
        </is>
      </c>
      <c r="F36" s="5" t="n"/>
      <c r="G36" s="5" t="n"/>
      <c r="H36" s="5" t="inlineStr">
        <is>
          <t>数量</t>
        </is>
      </c>
      <c r="I36" s="5" t="inlineStr">
        <is>
          <t>单重(Kg)</t>
        </is>
      </c>
      <c r="J36" s="5" t="inlineStr">
        <is>
          <t>总重(Kg)</t>
        </is>
      </c>
      <c r="K36" s="5" t="inlineStr">
        <is>
          <t>备注</t>
        </is>
      </c>
    </row>
    <row r="37" ht="28.5" customHeight="1">
      <c r="A37" s="5" t="n"/>
      <c r="B37" s="5" t="inlineStr">
        <is>
          <t>屈服荷载(KN)</t>
        </is>
      </c>
      <c r="C37" s="5" t="inlineStr">
        <is>
          <t>长度(mm)</t>
        </is>
      </c>
      <c r="D37" s="5" t="n"/>
      <c r="E37" s="5" t="inlineStr">
        <is>
          <t>厚</t>
        </is>
      </c>
      <c r="F37" s="5" t="inlineStr">
        <is>
          <t>宽</t>
        </is>
      </c>
      <c r="G37" s="5" t="inlineStr">
        <is>
          <t>长</t>
        </is>
      </c>
      <c r="H37" s="5" t="n"/>
      <c r="I37" s="5" t="n"/>
      <c r="J37" s="5" t="n"/>
      <c r="K37" s="5" t="n"/>
    </row>
    <row r="38" ht="14.25" customHeight="1">
      <c r="A38" s="5" t="inlineStr">
        <is>
          <t>1</t>
        </is>
      </c>
      <c r="B38" s="5" t="n">
        <v>1300</v>
      </c>
      <c r="C38" s="5" t="n">
        <v>5100</v>
      </c>
      <c r="D38" s="5" t="inlineStr">
        <is>
          <t>芯板</t>
        </is>
      </c>
      <c r="E38" s="5" t="n">
        <v>12</v>
      </c>
      <c r="F38" s="5" t="n">
        <v>136</v>
      </c>
      <c r="G38" s="5">
        <f>C38</f>
        <v/>
      </c>
      <c r="H38" s="5" t="n">
        <v>2</v>
      </c>
      <c r="I38" s="6">
        <f>E38*F38*G38*0.00000785</f>
        <v/>
      </c>
      <c r="J38" s="6">
        <f>I38*H38</f>
        <v/>
      </c>
      <c r="K38" s="5" t="inlineStr">
        <is>
          <t>LY225</t>
        </is>
      </c>
    </row>
    <row r="39" ht="14.25" customHeight="1">
      <c r="A39" s="5" t="inlineStr">
        <is>
          <t>2</t>
        </is>
      </c>
      <c r="B39" s="5" t="n"/>
      <c r="C39" s="5" t="n"/>
      <c r="D39" s="5" t="inlineStr">
        <is>
          <t>翼缘板1</t>
        </is>
      </c>
      <c r="E39" s="5" t="n">
        <v>12</v>
      </c>
      <c r="F39" s="5" t="n">
        <v>160</v>
      </c>
      <c r="G39" s="5" t="inlineStr">
        <is>
          <t>300</t>
        </is>
      </c>
      <c r="H39" s="5" t="n">
        <v>8</v>
      </c>
      <c r="I39" s="6">
        <f>E39*F39*G39*0.00000785</f>
        <v/>
      </c>
      <c r="J39" s="6">
        <f>I39*H39</f>
        <v/>
      </c>
      <c r="K39" s="5" t="inlineStr">
        <is>
          <t>LY225</t>
        </is>
      </c>
    </row>
    <row r="40" ht="14.25" customHeight="1">
      <c r="A40" s="5" t="inlineStr">
        <is>
          <t>3</t>
        </is>
      </c>
      <c r="B40" s="5" t="n"/>
      <c r="C40" s="5" t="n"/>
      <c r="D40" s="5" t="inlineStr">
        <is>
          <t>翼缘板2</t>
        </is>
      </c>
      <c r="E40" s="5" t="n">
        <v>12</v>
      </c>
      <c r="F40" s="5" t="n">
        <v>74</v>
      </c>
      <c r="G40" s="5" t="inlineStr">
        <is>
          <t>300</t>
        </is>
      </c>
      <c r="H40" s="5" t="n">
        <v>8</v>
      </c>
      <c r="I40" s="6">
        <f>E40*F40*G40*0.00000785</f>
        <v/>
      </c>
      <c r="J40" s="6">
        <f>I40*H40</f>
        <v/>
      </c>
      <c r="K40" s="5" t="inlineStr">
        <is>
          <t>LY225</t>
        </is>
      </c>
    </row>
    <row r="41" ht="14.25" customHeight="1">
      <c r="A41" s="5" t="inlineStr">
        <is>
          <t>4</t>
        </is>
      </c>
      <c r="B41" s="5" t="n"/>
      <c r="C41" s="5" t="n"/>
      <c r="D41" s="5" t="inlineStr">
        <is>
          <t>挡板</t>
        </is>
      </c>
      <c r="E41" s="5" t="n">
        <v>6</v>
      </c>
      <c r="F41" s="5" t="n">
        <v>215</v>
      </c>
      <c r="G41" s="5">
        <f>f41</f>
        <v/>
      </c>
      <c r="H41" s="5" t="n">
        <v>4</v>
      </c>
      <c r="I41" s="6">
        <f>E41*F41*G41*0.00000785</f>
        <v/>
      </c>
      <c r="J41" s="6">
        <f>I41*H41</f>
        <v/>
      </c>
      <c r="K41" s="5" t="inlineStr">
        <is>
          <t>Q235B</t>
        </is>
      </c>
    </row>
    <row r="42" ht="14.25" customHeight="1">
      <c r="A42" s="5" t="inlineStr">
        <is>
          <t>5</t>
        </is>
      </c>
      <c r="B42" s="5" t="n"/>
      <c r="C42" s="5" t="n"/>
      <c r="D42" s="5" t="inlineStr">
        <is>
          <t>方管</t>
        </is>
      </c>
      <c r="E42" s="5" t="n">
        <v>4</v>
      </c>
      <c r="F42" s="5" t="n">
        <v>800</v>
      </c>
      <c r="G42" s="5">
        <f>C38-300</f>
        <v/>
      </c>
      <c r="H42" s="5" t="n">
        <v>2</v>
      </c>
      <c r="I42" s="6">
        <f>E42*F42*G42*0.00000785</f>
        <v/>
      </c>
      <c r="J42" s="6">
        <f>I42*H42</f>
        <v/>
      </c>
      <c r="K42" s="5" t="n"/>
    </row>
    <row r="43" ht="14.25" customHeight="1">
      <c r="A43" s="5" t="inlineStr">
        <is>
          <t>钢材合计：</t>
        </is>
      </c>
      <c r="B43" s="7" t="n"/>
      <c r="C43" s="7" t="n"/>
      <c r="D43" s="7" t="n"/>
      <c r="E43" s="7" t="n"/>
      <c r="F43" s="7" t="n"/>
      <c r="G43" s="7" t="n"/>
      <c r="H43" s="5" t="n"/>
      <c r="I43" s="6">
        <f>J43/2</f>
        <v/>
      </c>
      <c r="J43" s="6">
        <f>SUM(J38:J42)</f>
        <v/>
      </c>
      <c r="K43" s="5" t="inlineStr">
        <is>
          <t>王字</t>
        </is>
      </c>
    </row>
    <row r="44" ht="14.25" customHeight="1">
      <c r="A44" s="5" t="inlineStr">
        <is>
          <t>6</t>
        </is>
      </c>
      <c r="B44" s="5" t="inlineStr">
        <is>
          <t>灌浆</t>
        </is>
      </c>
      <c r="C44" s="5" t="n"/>
      <c r="D44" s="5" t="n"/>
      <c r="E44" s="5" t="n">
        <v>200</v>
      </c>
      <c r="F44" s="5" t="n">
        <v>200</v>
      </c>
      <c r="G44" s="5">
        <f>C38-300</f>
        <v/>
      </c>
      <c r="H44" s="5" t="n">
        <v>2</v>
      </c>
      <c r="I44" s="6">
        <f>E44*F44*G44*0.00000210</f>
        <v/>
      </c>
      <c r="J44" s="6">
        <f>I44*H44</f>
        <v/>
      </c>
      <c r="K44" s="7" t="n"/>
    </row>
    <row r="45" ht="14.25" customHeight="1">
      <c r="A45" s="5" t="inlineStr">
        <is>
          <t>7</t>
        </is>
      </c>
      <c r="B45" s="5" t="inlineStr">
        <is>
          <t>合计</t>
        </is>
      </c>
      <c r="C45" s="5" t="n"/>
      <c r="D45" s="5" t="n"/>
      <c r="E45" s="5" t="n"/>
      <c r="F45" s="5" t="n"/>
      <c r="G45" s="5" t="n"/>
      <c r="H45" s="5" t="n"/>
      <c r="I45" s="5" t="n"/>
      <c r="J45" s="6">
        <f>SUM(J43:J44)</f>
        <v/>
      </c>
      <c r="K45" s="7" t="n"/>
    </row>
    <row r="46" ht="14.25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</row>
    <row r="47" ht="15" customHeight="1">
      <c r="A47" s="5" t="inlineStr">
        <is>
          <t>序号</t>
        </is>
      </c>
      <c r="B47" s="5" t="inlineStr">
        <is>
          <t>型号</t>
        </is>
      </c>
      <c r="C47" s="5" t="n"/>
      <c r="D47" s="5" t="inlineStr">
        <is>
          <t>名称</t>
        </is>
      </c>
      <c r="E47" s="5" t="inlineStr">
        <is>
          <t>规格</t>
        </is>
      </c>
      <c r="F47" s="5" t="n"/>
      <c r="G47" s="5" t="n"/>
      <c r="H47" s="5" t="inlineStr">
        <is>
          <t>数量</t>
        </is>
      </c>
      <c r="I47" s="5" t="inlineStr">
        <is>
          <t>单重(Kg)</t>
        </is>
      </c>
      <c r="J47" s="5" t="inlineStr">
        <is>
          <t>总重(Kg)</t>
        </is>
      </c>
      <c r="K47" s="5" t="inlineStr">
        <is>
          <t>备注</t>
        </is>
      </c>
    </row>
    <row r="48" ht="28.5" customHeight="1">
      <c r="A48" s="5" t="n"/>
      <c r="B48" s="5" t="inlineStr">
        <is>
          <t>屈服荷载(KN)</t>
        </is>
      </c>
      <c r="C48" s="5" t="inlineStr">
        <is>
          <t>长度(mm)</t>
        </is>
      </c>
      <c r="D48" s="5" t="n"/>
      <c r="E48" s="5" t="inlineStr">
        <is>
          <t>厚</t>
        </is>
      </c>
      <c r="F48" s="5" t="inlineStr">
        <is>
          <t>宽</t>
        </is>
      </c>
      <c r="G48" s="5" t="inlineStr">
        <is>
          <t>长</t>
        </is>
      </c>
      <c r="H48" s="5" t="n"/>
      <c r="I48" s="5" t="n"/>
      <c r="J48" s="5" t="n"/>
      <c r="K48" s="5" t="n"/>
    </row>
    <row r="49" ht="14.25" customHeight="1">
      <c r="A49" s="5" t="inlineStr">
        <is>
          <t>1</t>
        </is>
      </c>
      <c r="B49" s="5" t="n">
        <v>1300</v>
      </c>
      <c r="C49" s="5" t="n">
        <v>4900</v>
      </c>
      <c r="D49" s="5" t="inlineStr">
        <is>
          <t>芯板</t>
        </is>
      </c>
      <c r="E49" s="5" t="n">
        <v>12</v>
      </c>
      <c r="F49" s="5" t="n">
        <v>136</v>
      </c>
      <c r="G49" s="5">
        <f>C49</f>
        <v/>
      </c>
      <c r="H49" s="5" t="n">
        <v>14</v>
      </c>
      <c r="I49" s="6">
        <f>E49*F49*G49*0.00000785</f>
        <v/>
      </c>
      <c r="J49" s="6">
        <f>I49*H49</f>
        <v/>
      </c>
      <c r="K49" s="5" t="inlineStr">
        <is>
          <t>LY225</t>
        </is>
      </c>
    </row>
    <row r="50" ht="14.25" customHeight="1">
      <c r="A50" s="5" t="inlineStr">
        <is>
          <t>2</t>
        </is>
      </c>
      <c r="B50" s="5" t="n"/>
      <c r="C50" s="5" t="n"/>
      <c r="D50" s="5" t="inlineStr">
        <is>
          <t>翼缘板1</t>
        </is>
      </c>
      <c r="E50" s="5" t="n">
        <v>12</v>
      </c>
      <c r="F50" s="5" t="n">
        <v>160</v>
      </c>
      <c r="G50" s="5" t="inlineStr">
        <is>
          <t>300</t>
        </is>
      </c>
      <c r="H50" s="5" t="n">
        <v>56</v>
      </c>
      <c r="I50" s="6">
        <f>E50*F50*G50*0.00000785</f>
        <v/>
      </c>
      <c r="J50" s="6">
        <f>I50*H50</f>
        <v/>
      </c>
      <c r="K50" s="5" t="inlineStr">
        <is>
          <t>LY225</t>
        </is>
      </c>
    </row>
    <row r="51" ht="14.25" customHeight="1">
      <c r="A51" s="5" t="inlineStr">
        <is>
          <t>3</t>
        </is>
      </c>
      <c r="B51" s="5" t="n"/>
      <c r="C51" s="5" t="n"/>
      <c r="D51" s="5" t="inlineStr">
        <is>
          <t>翼缘板2</t>
        </is>
      </c>
      <c r="E51" s="5" t="n">
        <v>12</v>
      </c>
      <c r="F51" s="5" t="n">
        <v>74</v>
      </c>
      <c r="G51" s="5" t="inlineStr">
        <is>
          <t>300</t>
        </is>
      </c>
      <c r="H51" s="5" t="n">
        <v>56</v>
      </c>
      <c r="I51" s="6">
        <f>E51*F51*G51*0.00000785</f>
        <v/>
      </c>
      <c r="J51" s="6">
        <f>I51*H51</f>
        <v/>
      </c>
      <c r="K51" s="5" t="inlineStr">
        <is>
          <t>LY225</t>
        </is>
      </c>
    </row>
    <row r="52" ht="14.25" customHeight="1">
      <c r="A52" s="5" t="inlineStr">
        <is>
          <t>4</t>
        </is>
      </c>
      <c r="B52" s="5" t="n"/>
      <c r="C52" s="5" t="n"/>
      <c r="D52" s="5" t="inlineStr">
        <is>
          <t>挡板</t>
        </is>
      </c>
      <c r="E52" s="5" t="n">
        <v>6</v>
      </c>
      <c r="F52" s="5" t="n">
        <v>215</v>
      </c>
      <c r="G52" s="5">
        <f>f52</f>
        <v/>
      </c>
      <c r="H52" s="5" t="n">
        <v>28</v>
      </c>
      <c r="I52" s="6">
        <f>E52*F52*G52*0.00000785</f>
        <v/>
      </c>
      <c r="J52" s="6">
        <f>I52*H52</f>
        <v/>
      </c>
      <c r="K52" s="5" t="inlineStr">
        <is>
          <t>Q235B</t>
        </is>
      </c>
    </row>
    <row r="53" ht="14.25" customHeight="1">
      <c r="A53" s="5" t="inlineStr">
        <is>
          <t>5</t>
        </is>
      </c>
      <c r="B53" s="5" t="n"/>
      <c r="C53" s="5" t="n"/>
      <c r="D53" s="5" t="inlineStr">
        <is>
          <t>方管</t>
        </is>
      </c>
      <c r="E53" s="5" t="n">
        <v>4</v>
      </c>
      <c r="F53" s="5" t="n">
        <v>800</v>
      </c>
      <c r="G53" s="5">
        <f>C49-300</f>
        <v/>
      </c>
      <c r="H53" s="5" t="n">
        <v>14</v>
      </c>
      <c r="I53" s="6">
        <f>E53*F53*G53*0.00000785</f>
        <v/>
      </c>
      <c r="J53" s="6">
        <f>I53*H53</f>
        <v/>
      </c>
      <c r="K53" s="5" t="n"/>
    </row>
    <row r="54" ht="14.25" customHeight="1">
      <c r="A54" s="5" t="inlineStr">
        <is>
          <t>钢材合计：</t>
        </is>
      </c>
      <c r="B54" s="7" t="n"/>
      <c r="C54" s="7" t="n"/>
      <c r="D54" s="7" t="n"/>
      <c r="E54" s="7" t="n"/>
      <c r="F54" s="7" t="n"/>
      <c r="G54" s="7" t="n"/>
      <c r="H54" s="5" t="n"/>
      <c r="I54" s="6">
        <f>J54/14</f>
        <v/>
      </c>
      <c r="J54" s="6">
        <f>SUM(J49:J53)</f>
        <v/>
      </c>
      <c r="K54" s="5" t="inlineStr">
        <is>
          <t>王字</t>
        </is>
      </c>
    </row>
    <row r="55" ht="14.25" customHeight="1">
      <c r="A55" s="5" t="inlineStr">
        <is>
          <t>6</t>
        </is>
      </c>
      <c r="B55" s="5" t="inlineStr">
        <is>
          <t>灌浆</t>
        </is>
      </c>
      <c r="C55" s="5" t="n"/>
      <c r="D55" s="5" t="n"/>
      <c r="E55" s="5" t="n">
        <v>200</v>
      </c>
      <c r="F55" s="5" t="n">
        <v>200</v>
      </c>
      <c r="G55" s="5">
        <f>C49-300</f>
        <v/>
      </c>
      <c r="H55" s="5" t="n">
        <v>14</v>
      </c>
      <c r="I55" s="6">
        <f>E55*F55*G55*0.00000210</f>
        <v/>
      </c>
      <c r="J55" s="6">
        <f>I55*H55</f>
        <v/>
      </c>
      <c r="K55" s="7" t="n"/>
    </row>
    <row r="56" ht="14.25" customHeight="1">
      <c r="A56" s="5" t="inlineStr">
        <is>
          <t>7</t>
        </is>
      </c>
      <c r="B56" s="5" t="inlineStr">
        <is>
          <t>合计</t>
        </is>
      </c>
      <c r="C56" s="5" t="n"/>
      <c r="D56" s="5" t="n"/>
      <c r="E56" s="5" t="n"/>
      <c r="F56" s="5" t="n"/>
      <c r="G56" s="5" t="n"/>
      <c r="H56" s="5" t="n"/>
      <c r="I56" s="5" t="n"/>
      <c r="J56" s="6">
        <f>SUM(J54:J55)</f>
        <v/>
      </c>
      <c r="K56" s="7" t="n"/>
    </row>
    <row r="57" ht="14.25" customHeight="1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</row>
    <row r="58" ht="15" customHeight="1">
      <c r="A58" s="5" t="inlineStr">
        <is>
          <t>序号</t>
        </is>
      </c>
      <c r="B58" s="5" t="inlineStr">
        <is>
          <t>型号</t>
        </is>
      </c>
      <c r="C58" s="5" t="n"/>
      <c r="D58" s="5" t="inlineStr">
        <is>
          <t>名称</t>
        </is>
      </c>
      <c r="E58" s="5" t="inlineStr">
        <is>
          <t>规格</t>
        </is>
      </c>
      <c r="F58" s="5" t="n"/>
      <c r="G58" s="5" t="n"/>
      <c r="H58" s="5" t="inlineStr">
        <is>
          <t>数量</t>
        </is>
      </c>
      <c r="I58" s="5" t="inlineStr">
        <is>
          <t>单重(Kg)</t>
        </is>
      </c>
      <c r="J58" s="5" t="inlineStr">
        <is>
          <t>总重(Kg)</t>
        </is>
      </c>
      <c r="K58" s="5" t="inlineStr">
        <is>
          <t>备注</t>
        </is>
      </c>
    </row>
    <row r="59" ht="28.5" customHeight="1">
      <c r="A59" s="5" t="n"/>
      <c r="B59" s="5" t="inlineStr">
        <is>
          <t>屈服荷载(KN)</t>
        </is>
      </c>
      <c r="C59" s="5" t="inlineStr">
        <is>
          <t>长度(mm)</t>
        </is>
      </c>
      <c r="D59" s="5" t="n"/>
      <c r="E59" s="5" t="inlineStr">
        <is>
          <t>厚</t>
        </is>
      </c>
      <c r="F59" s="5" t="inlineStr">
        <is>
          <t>宽</t>
        </is>
      </c>
      <c r="G59" s="5" t="inlineStr">
        <is>
          <t>长</t>
        </is>
      </c>
      <c r="H59" s="5" t="n"/>
      <c r="I59" s="5" t="n"/>
      <c r="J59" s="5" t="n"/>
      <c r="K59" s="5" t="n"/>
    </row>
    <row r="60" ht="14.25" customHeight="1">
      <c r="A60" s="5" t="inlineStr">
        <is>
          <t>1</t>
        </is>
      </c>
      <c r="B60" s="5" t="n">
        <v>1300</v>
      </c>
      <c r="C60" s="5" t="n">
        <v>3200</v>
      </c>
      <c r="D60" s="5" t="inlineStr">
        <is>
          <t>芯板</t>
        </is>
      </c>
      <c r="E60" s="5" t="n">
        <v>12</v>
      </c>
      <c r="F60" s="5" t="n">
        <v>136</v>
      </c>
      <c r="G60" s="5">
        <f>C60</f>
        <v/>
      </c>
      <c r="H60" s="5" t="n">
        <v>9</v>
      </c>
      <c r="I60" s="6">
        <f>E60*F60*G60*0.00000785</f>
        <v/>
      </c>
      <c r="J60" s="6">
        <f>I60*H60</f>
        <v/>
      </c>
      <c r="K60" s="5" t="inlineStr">
        <is>
          <t>LY225</t>
        </is>
      </c>
    </row>
    <row r="61" ht="14.25" customHeight="1">
      <c r="A61" s="5" t="inlineStr">
        <is>
          <t>2</t>
        </is>
      </c>
      <c r="B61" s="5" t="n"/>
      <c r="C61" s="5" t="n"/>
      <c r="D61" s="5" t="inlineStr">
        <is>
          <t>翼缘板1</t>
        </is>
      </c>
      <c r="E61" s="5" t="n">
        <v>12</v>
      </c>
      <c r="F61" s="5" t="n">
        <v>160</v>
      </c>
      <c r="G61" s="5" t="inlineStr">
        <is>
          <t>300</t>
        </is>
      </c>
      <c r="H61" s="5" t="n">
        <v>36</v>
      </c>
      <c r="I61" s="6">
        <f>E61*F61*G61*0.00000785</f>
        <v/>
      </c>
      <c r="J61" s="6">
        <f>I61*H61</f>
        <v/>
      </c>
      <c r="K61" s="5" t="inlineStr">
        <is>
          <t>LY225</t>
        </is>
      </c>
    </row>
    <row r="62" ht="14.25" customHeight="1">
      <c r="A62" s="5" t="inlineStr">
        <is>
          <t>3</t>
        </is>
      </c>
      <c r="B62" s="5" t="n"/>
      <c r="C62" s="5" t="n"/>
      <c r="D62" s="5" t="inlineStr">
        <is>
          <t>翼缘板2</t>
        </is>
      </c>
      <c r="E62" s="5" t="n">
        <v>12</v>
      </c>
      <c r="F62" s="5" t="n">
        <v>74</v>
      </c>
      <c r="G62" s="5" t="inlineStr">
        <is>
          <t>300</t>
        </is>
      </c>
      <c r="H62" s="5" t="n">
        <v>36</v>
      </c>
      <c r="I62" s="6">
        <f>E62*F62*G62*0.00000785</f>
        <v/>
      </c>
      <c r="J62" s="6">
        <f>I62*H62</f>
        <v/>
      </c>
      <c r="K62" s="5" t="inlineStr">
        <is>
          <t>LY225</t>
        </is>
      </c>
    </row>
    <row r="63" ht="14.25" customHeight="1">
      <c r="A63" s="5" t="inlineStr">
        <is>
          <t>4</t>
        </is>
      </c>
      <c r="B63" s="5" t="n"/>
      <c r="C63" s="5" t="n"/>
      <c r="D63" s="5" t="inlineStr">
        <is>
          <t>挡板</t>
        </is>
      </c>
      <c r="E63" s="5" t="n">
        <v>6</v>
      </c>
      <c r="F63" s="5" t="n">
        <v>215</v>
      </c>
      <c r="G63" s="5">
        <f>f63</f>
        <v/>
      </c>
      <c r="H63" s="5" t="n">
        <v>18</v>
      </c>
      <c r="I63" s="6">
        <f>E63*F63*G63*0.00000785</f>
        <v/>
      </c>
      <c r="J63" s="6">
        <f>I63*H63</f>
        <v/>
      </c>
      <c r="K63" s="5" t="inlineStr">
        <is>
          <t>Q235B</t>
        </is>
      </c>
    </row>
    <row r="64" ht="14.25" customHeight="1">
      <c r="A64" s="5" t="inlineStr">
        <is>
          <t>5</t>
        </is>
      </c>
      <c r="B64" s="5" t="n"/>
      <c r="C64" s="5" t="n"/>
      <c r="D64" s="5" t="inlineStr">
        <is>
          <t>方管</t>
        </is>
      </c>
      <c r="E64" s="5" t="n">
        <v>4</v>
      </c>
      <c r="F64" s="5" t="n">
        <v>800</v>
      </c>
      <c r="G64" s="5">
        <f>C60-300</f>
        <v/>
      </c>
      <c r="H64" s="5" t="n">
        <v>9</v>
      </c>
      <c r="I64" s="6">
        <f>E64*F64*G64*0.00000785</f>
        <v/>
      </c>
      <c r="J64" s="6">
        <f>I64*H64</f>
        <v/>
      </c>
      <c r="K64" s="5" t="n"/>
    </row>
    <row r="65" ht="14.25" customHeight="1">
      <c r="A65" s="5" t="inlineStr">
        <is>
          <t>钢材合计：</t>
        </is>
      </c>
      <c r="B65" s="7" t="n"/>
      <c r="C65" s="7" t="n"/>
      <c r="D65" s="7" t="n"/>
      <c r="E65" s="7" t="n"/>
      <c r="F65" s="7" t="n"/>
      <c r="G65" s="7" t="n"/>
      <c r="H65" s="5" t="n"/>
      <c r="I65" s="6">
        <f>J65/9</f>
        <v/>
      </c>
      <c r="J65" s="6">
        <f>SUM(J60:J64)</f>
        <v/>
      </c>
      <c r="K65" s="5" t="inlineStr">
        <is>
          <t>王字</t>
        </is>
      </c>
    </row>
    <row r="66" ht="14.25" customHeight="1">
      <c r="A66" s="5" t="inlineStr">
        <is>
          <t>6</t>
        </is>
      </c>
      <c r="B66" s="5" t="inlineStr">
        <is>
          <t>灌浆</t>
        </is>
      </c>
      <c r="C66" s="5" t="n"/>
      <c r="D66" s="5" t="n"/>
      <c r="E66" s="5" t="n">
        <v>200</v>
      </c>
      <c r="F66" s="5" t="n">
        <v>200</v>
      </c>
      <c r="G66" s="5">
        <f>C60-300</f>
        <v/>
      </c>
      <c r="H66" s="5" t="n">
        <v>9</v>
      </c>
      <c r="I66" s="6">
        <f>E66*F66*G66*0.00000210</f>
        <v/>
      </c>
      <c r="J66" s="6">
        <f>I66*H66</f>
        <v/>
      </c>
      <c r="K66" s="7" t="n"/>
    </row>
    <row r="67" ht="14.25" customHeight="1">
      <c r="A67" s="5" t="inlineStr">
        <is>
          <t>7</t>
        </is>
      </c>
      <c r="B67" s="5" t="inlineStr">
        <is>
          <t>合计</t>
        </is>
      </c>
      <c r="C67" s="5" t="n"/>
      <c r="D67" s="5" t="n"/>
      <c r="E67" s="5" t="n"/>
      <c r="F67" s="5" t="n"/>
      <c r="G67" s="5" t="n"/>
      <c r="H67" s="5" t="n"/>
      <c r="I67" s="5" t="n"/>
      <c r="J67" s="6">
        <f>SUM(J65:J66)</f>
        <v/>
      </c>
      <c r="K67" s="7" t="n"/>
    </row>
    <row r="68" ht="14.25" customHeight="1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</row>
    <row r="69" ht="15" customHeight="1">
      <c r="A69" s="5" t="inlineStr">
        <is>
          <t>序号</t>
        </is>
      </c>
      <c r="B69" s="5" t="inlineStr">
        <is>
          <t>型号</t>
        </is>
      </c>
      <c r="C69" s="5" t="n"/>
      <c r="D69" s="5" t="inlineStr">
        <is>
          <t>名称</t>
        </is>
      </c>
      <c r="E69" s="5" t="inlineStr">
        <is>
          <t>规格</t>
        </is>
      </c>
      <c r="F69" s="5" t="n"/>
      <c r="G69" s="5" t="n"/>
      <c r="H69" s="5" t="inlineStr">
        <is>
          <t>数量</t>
        </is>
      </c>
      <c r="I69" s="5" t="inlineStr">
        <is>
          <t>单重(Kg)</t>
        </is>
      </c>
      <c r="J69" s="5" t="inlineStr">
        <is>
          <t>总重(Kg)</t>
        </is>
      </c>
      <c r="K69" s="5" t="inlineStr">
        <is>
          <t>备注</t>
        </is>
      </c>
    </row>
    <row r="70" ht="28.5" customHeight="1">
      <c r="A70" s="5" t="n"/>
      <c r="B70" s="5" t="inlineStr">
        <is>
          <t>屈服荷载(KN)</t>
        </is>
      </c>
      <c r="C70" s="5" t="inlineStr">
        <is>
          <t>长度(mm)</t>
        </is>
      </c>
      <c r="D70" s="5" t="n"/>
      <c r="E70" s="5" t="inlineStr">
        <is>
          <t>厚</t>
        </is>
      </c>
      <c r="F70" s="5" t="inlineStr">
        <is>
          <t>宽</t>
        </is>
      </c>
      <c r="G70" s="5" t="inlineStr">
        <is>
          <t>长</t>
        </is>
      </c>
      <c r="H70" s="5" t="n"/>
      <c r="I70" s="5" t="n"/>
      <c r="J70" s="5" t="n"/>
      <c r="K70" s="5" t="n"/>
    </row>
    <row r="71" ht="14.25" customHeight="1">
      <c r="A71" s="5" t="inlineStr">
        <is>
          <t>1</t>
        </is>
      </c>
      <c r="B71" s="5" t="n">
        <v>1300</v>
      </c>
      <c r="C71" s="5" t="n">
        <v>3000</v>
      </c>
      <c r="D71" s="5" t="inlineStr">
        <is>
          <t>芯板</t>
        </is>
      </c>
      <c r="E71" s="5" t="n">
        <v>12</v>
      </c>
      <c r="F71" s="5" t="n">
        <v>136</v>
      </c>
      <c r="G71" s="5">
        <f>C71</f>
        <v/>
      </c>
      <c r="H71" s="5" t="n">
        <v>14</v>
      </c>
      <c r="I71" s="6">
        <f>E71*F71*G71*0.00000785</f>
        <v/>
      </c>
      <c r="J71" s="6">
        <f>I71*H71</f>
        <v/>
      </c>
      <c r="K71" s="5" t="inlineStr">
        <is>
          <t>LY225</t>
        </is>
      </c>
    </row>
    <row r="72" ht="14.25" customHeight="1">
      <c r="A72" s="5" t="inlineStr">
        <is>
          <t>2</t>
        </is>
      </c>
      <c r="B72" s="5" t="n"/>
      <c r="C72" s="5" t="n"/>
      <c r="D72" s="5" t="inlineStr">
        <is>
          <t>翼缘板1</t>
        </is>
      </c>
      <c r="E72" s="5" t="n">
        <v>12</v>
      </c>
      <c r="F72" s="5" t="n">
        <v>160</v>
      </c>
      <c r="G72" s="5" t="inlineStr">
        <is>
          <t>300</t>
        </is>
      </c>
      <c r="H72" s="5" t="n">
        <v>56</v>
      </c>
      <c r="I72" s="6">
        <f>E72*F72*G72*0.00000785</f>
        <v/>
      </c>
      <c r="J72" s="6">
        <f>I72*H72</f>
        <v/>
      </c>
      <c r="K72" s="5" t="inlineStr">
        <is>
          <t>LY225</t>
        </is>
      </c>
    </row>
    <row r="73" ht="14.25" customHeight="1">
      <c r="A73" s="5" t="inlineStr">
        <is>
          <t>3</t>
        </is>
      </c>
      <c r="B73" s="5" t="n"/>
      <c r="C73" s="5" t="n"/>
      <c r="D73" s="5" t="inlineStr">
        <is>
          <t>翼缘板2</t>
        </is>
      </c>
      <c r="E73" s="5" t="n">
        <v>12</v>
      </c>
      <c r="F73" s="5" t="n">
        <v>74</v>
      </c>
      <c r="G73" s="5" t="inlineStr">
        <is>
          <t>300</t>
        </is>
      </c>
      <c r="H73" s="5" t="n">
        <v>56</v>
      </c>
      <c r="I73" s="6">
        <f>E73*F73*G73*0.00000785</f>
        <v/>
      </c>
      <c r="J73" s="6">
        <f>I73*H73</f>
        <v/>
      </c>
      <c r="K73" s="5" t="inlineStr">
        <is>
          <t>LY225</t>
        </is>
      </c>
    </row>
    <row r="74" ht="14.25" customHeight="1">
      <c r="A74" s="5" t="inlineStr">
        <is>
          <t>4</t>
        </is>
      </c>
      <c r="B74" s="5" t="n"/>
      <c r="C74" s="5" t="n"/>
      <c r="D74" s="5" t="inlineStr">
        <is>
          <t>挡板</t>
        </is>
      </c>
      <c r="E74" s="5" t="n">
        <v>6</v>
      </c>
      <c r="F74" s="5" t="n">
        <v>215</v>
      </c>
      <c r="G74" s="5">
        <f>f74</f>
        <v/>
      </c>
      <c r="H74" s="5" t="n">
        <v>28</v>
      </c>
      <c r="I74" s="6">
        <f>E74*F74*G74*0.00000785</f>
        <v/>
      </c>
      <c r="J74" s="6">
        <f>I74*H74</f>
        <v/>
      </c>
      <c r="K74" s="5" t="inlineStr">
        <is>
          <t>Q235B</t>
        </is>
      </c>
    </row>
    <row r="75" ht="14.25" customHeight="1">
      <c r="A75" s="5" t="inlineStr">
        <is>
          <t>5</t>
        </is>
      </c>
      <c r="B75" s="5" t="n"/>
      <c r="C75" s="5" t="n"/>
      <c r="D75" s="5" t="inlineStr">
        <is>
          <t>方管</t>
        </is>
      </c>
      <c r="E75" s="5" t="n">
        <v>4</v>
      </c>
      <c r="F75" s="5" t="n">
        <v>800</v>
      </c>
      <c r="G75" s="5">
        <f>C71-300</f>
        <v/>
      </c>
      <c r="H75" s="5" t="n">
        <v>14</v>
      </c>
      <c r="I75" s="6">
        <f>E75*F75*G75*0.00000785</f>
        <v/>
      </c>
      <c r="J75" s="6">
        <f>I75*H75</f>
        <v/>
      </c>
      <c r="K75" s="5" t="n"/>
    </row>
    <row r="76" ht="14.25" customHeight="1">
      <c r="A76" s="5" t="inlineStr">
        <is>
          <t>钢材合计：</t>
        </is>
      </c>
      <c r="B76" s="7" t="n"/>
      <c r="C76" s="7" t="n"/>
      <c r="D76" s="7" t="n"/>
      <c r="E76" s="7" t="n"/>
      <c r="F76" s="7" t="n"/>
      <c r="G76" s="7" t="n"/>
      <c r="H76" s="5" t="n"/>
      <c r="I76" s="6">
        <f>J76/14</f>
        <v/>
      </c>
      <c r="J76" s="6">
        <f>SUM(J71:J75)</f>
        <v/>
      </c>
      <c r="K76" s="5" t="inlineStr">
        <is>
          <t>王字</t>
        </is>
      </c>
    </row>
    <row r="77" ht="14.25" customHeight="1">
      <c r="A77" s="5" t="inlineStr">
        <is>
          <t>6</t>
        </is>
      </c>
      <c r="B77" s="5" t="inlineStr">
        <is>
          <t>灌浆</t>
        </is>
      </c>
      <c r="C77" s="5" t="n"/>
      <c r="D77" s="5" t="n"/>
      <c r="E77" s="5" t="n">
        <v>200</v>
      </c>
      <c r="F77" s="5" t="n">
        <v>200</v>
      </c>
      <c r="G77" s="5">
        <f>C71-300</f>
        <v/>
      </c>
      <c r="H77" s="5" t="n">
        <v>14</v>
      </c>
      <c r="I77" s="6">
        <f>E77*F77*G77*0.00000210</f>
        <v/>
      </c>
      <c r="J77" s="6">
        <f>I77*H77</f>
        <v/>
      </c>
      <c r="K77" s="7" t="n"/>
    </row>
    <row r="78" ht="14.25" customHeight="1">
      <c r="A78" s="5" t="inlineStr">
        <is>
          <t>7</t>
        </is>
      </c>
      <c r="B78" s="5" t="inlineStr">
        <is>
          <t>合计</t>
        </is>
      </c>
      <c r="C78" s="5" t="n"/>
      <c r="D78" s="5" t="n"/>
      <c r="E78" s="5" t="n"/>
      <c r="F78" s="5" t="n"/>
      <c r="G78" s="5" t="n"/>
      <c r="H78" s="5" t="n"/>
      <c r="I78" s="5" t="n"/>
      <c r="J78" s="6">
        <f>SUM(J76:J77)</f>
        <v/>
      </c>
      <c r="K78" s="7" t="n"/>
    </row>
    <row r="79" ht="14.25" customHeight="1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</row>
    <row r="80" ht="15" customHeight="1">
      <c r="A80" s="5" t="inlineStr">
        <is>
          <t>序号</t>
        </is>
      </c>
      <c r="B80" s="5" t="inlineStr">
        <is>
          <t>型号</t>
        </is>
      </c>
      <c r="C80" s="5" t="n"/>
      <c r="D80" s="5" t="inlineStr">
        <is>
          <t>名称</t>
        </is>
      </c>
      <c r="E80" s="5" t="inlineStr">
        <is>
          <t>规格</t>
        </is>
      </c>
      <c r="F80" s="5" t="n"/>
      <c r="G80" s="5" t="n"/>
      <c r="H80" s="5" t="inlineStr">
        <is>
          <t>数量</t>
        </is>
      </c>
      <c r="I80" s="5" t="inlineStr">
        <is>
          <t>单重(Kg)</t>
        </is>
      </c>
      <c r="J80" s="5" t="inlineStr">
        <is>
          <t>总重(Kg)</t>
        </is>
      </c>
      <c r="K80" s="5" t="inlineStr">
        <is>
          <t>备注</t>
        </is>
      </c>
    </row>
    <row r="81" ht="28.5" customHeight="1">
      <c r="A81" s="5" t="n"/>
      <c r="B81" s="5" t="inlineStr">
        <is>
          <t>屈服荷载(KN)</t>
        </is>
      </c>
      <c r="C81" s="5" t="inlineStr">
        <is>
          <t>长度(mm)</t>
        </is>
      </c>
      <c r="D81" s="5" t="n"/>
      <c r="E81" s="5" t="inlineStr">
        <is>
          <t>厚</t>
        </is>
      </c>
      <c r="F81" s="5" t="inlineStr">
        <is>
          <t>宽</t>
        </is>
      </c>
      <c r="G81" s="5" t="inlineStr">
        <is>
          <t>长</t>
        </is>
      </c>
      <c r="H81" s="5" t="n"/>
      <c r="I81" s="5" t="n"/>
      <c r="J81" s="5" t="n"/>
      <c r="K81" s="5" t="n"/>
    </row>
    <row r="82" ht="14.25" customHeight="1">
      <c r="A82" s="5" t="inlineStr">
        <is>
          <t>1</t>
        </is>
      </c>
      <c r="B82" s="5" t="n">
        <v>1300</v>
      </c>
      <c r="C82" s="5" t="n">
        <v>2800</v>
      </c>
      <c r="D82" s="5" t="inlineStr">
        <is>
          <t>芯板</t>
        </is>
      </c>
      <c r="E82" s="5" t="n">
        <v>12</v>
      </c>
      <c r="F82" s="5" t="n">
        <v>136</v>
      </c>
      <c r="G82" s="5">
        <f>C82</f>
        <v/>
      </c>
      <c r="H82" s="5" t="n">
        <v>2</v>
      </c>
      <c r="I82" s="6">
        <f>E82*F82*G82*0.00000785</f>
        <v/>
      </c>
      <c r="J82" s="6">
        <f>I82*H82</f>
        <v/>
      </c>
      <c r="K82" s="5" t="inlineStr">
        <is>
          <t>LY225</t>
        </is>
      </c>
    </row>
    <row r="83" ht="14.25" customHeight="1">
      <c r="A83" s="5" t="inlineStr">
        <is>
          <t>2</t>
        </is>
      </c>
      <c r="B83" s="5" t="n"/>
      <c r="C83" s="5" t="n"/>
      <c r="D83" s="5" t="inlineStr">
        <is>
          <t>翼缘板1</t>
        </is>
      </c>
      <c r="E83" s="5" t="n">
        <v>12</v>
      </c>
      <c r="F83" s="5" t="n">
        <v>160</v>
      </c>
      <c r="G83" s="5" t="inlineStr">
        <is>
          <t>300</t>
        </is>
      </c>
      <c r="H83" s="5" t="n">
        <v>8</v>
      </c>
      <c r="I83" s="6">
        <f>E83*F83*G83*0.00000785</f>
        <v/>
      </c>
      <c r="J83" s="6">
        <f>I83*H83</f>
        <v/>
      </c>
      <c r="K83" s="5" t="inlineStr">
        <is>
          <t>LY225</t>
        </is>
      </c>
    </row>
    <row r="84" ht="14.25" customHeight="1">
      <c r="A84" s="5" t="inlineStr">
        <is>
          <t>3</t>
        </is>
      </c>
      <c r="B84" s="5" t="n"/>
      <c r="C84" s="5" t="n"/>
      <c r="D84" s="5" t="inlineStr">
        <is>
          <t>翼缘板2</t>
        </is>
      </c>
      <c r="E84" s="5" t="n">
        <v>12</v>
      </c>
      <c r="F84" s="5" t="n">
        <v>74</v>
      </c>
      <c r="G84" s="5" t="inlineStr">
        <is>
          <t>300</t>
        </is>
      </c>
      <c r="H84" s="5" t="n">
        <v>8</v>
      </c>
      <c r="I84" s="6">
        <f>E84*F84*G84*0.00000785</f>
        <v/>
      </c>
      <c r="J84" s="6">
        <f>I84*H84</f>
        <v/>
      </c>
      <c r="K84" s="5" t="inlineStr">
        <is>
          <t>LY225</t>
        </is>
      </c>
    </row>
    <row r="85" ht="14.25" customHeight="1">
      <c r="A85" s="5" t="inlineStr">
        <is>
          <t>4</t>
        </is>
      </c>
      <c r="B85" s="5" t="n"/>
      <c r="C85" s="5" t="n"/>
      <c r="D85" s="5" t="inlineStr">
        <is>
          <t>挡板</t>
        </is>
      </c>
      <c r="E85" s="5" t="n">
        <v>6</v>
      </c>
      <c r="F85" s="5" t="n">
        <v>215</v>
      </c>
      <c r="G85" s="5">
        <f>f85</f>
        <v/>
      </c>
      <c r="H85" s="5" t="n">
        <v>4</v>
      </c>
      <c r="I85" s="6">
        <f>E85*F85*G85*0.00000785</f>
        <v/>
      </c>
      <c r="J85" s="6">
        <f>I85*H85</f>
        <v/>
      </c>
      <c r="K85" s="5" t="inlineStr">
        <is>
          <t>Q235B</t>
        </is>
      </c>
    </row>
    <row r="86" ht="14.25" customHeight="1">
      <c r="A86" s="5" t="inlineStr">
        <is>
          <t>5</t>
        </is>
      </c>
      <c r="B86" s="5" t="n"/>
      <c r="C86" s="5" t="n"/>
      <c r="D86" s="5" t="inlineStr">
        <is>
          <t>方管</t>
        </is>
      </c>
      <c r="E86" s="5" t="n">
        <v>4</v>
      </c>
      <c r="F86" s="5" t="n">
        <v>800</v>
      </c>
      <c r="G86" s="5">
        <f>C82-300</f>
        <v/>
      </c>
      <c r="H86" s="5" t="n">
        <v>2</v>
      </c>
      <c r="I86" s="6">
        <f>E86*F86*G86*0.00000785</f>
        <v/>
      </c>
      <c r="J86" s="6">
        <f>I86*H86</f>
        <v/>
      </c>
      <c r="K86" s="5" t="n"/>
    </row>
    <row r="87" ht="14.25" customHeight="1">
      <c r="A87" s="5" t="inlineStr">
        <is>
          <t>钢材合计：</t>
        </is>
      </c>
      <c r="B87" s="7" t="n"/>
      <c r="C87" s="7" t="n"/>
      <c r="D87" s="7" t="n"/>
      <c r="E87" s="7" t="n"/>
      <c r="F87" s="7" t="n"/>
      <c r="G87" s="7" t="n"/>
      <c r="H87" s="5" t="n"/>
      <c r="I87" s="6">
        <f>J87/2</f>
        <v/>
      </c>
      <c r="J87" s="6">
        <f>SUM(J82:J86)</f>
        <v/>
      </c>
      <c r="K87" s="5" t="inlineStr">
        <is>
          <t>王字</t>
        </is>
      </c>
    </row>
    <row r="88" ht="14.25" customHeight="1">
      <c r="A88" s="5" t="inlineStr">
        <is>
          <t>6</t>
        </is>
      </c>
      <c r="B88" s="5" t="inlineStr">
        <is>
          <t>灌浆</t>
        </is>
      </c>
      <c r="C88" s="5" t="n"/>
      <c r="D88" s="5" t="n"/>
      <c r="E88" s="5" t="n">
        <v>200</v>
      </c>
      <c r="F88" s="5" t="n">
        <v>200</v>
      </c>
      <c r="G88" s="5">
        <f>C82-300</f>
        <v/>
      </c>
      <c r="H88" s="5" t="n">
        <v>2</v>
      </c>
      <c r="I88" s="6">
        <f>E88*F88*G88*0.00000210</f>
        <v/>
      </c>
      <c r="J88" s="6">
        <f>I88*H88</f>
        <v/>
      </c>
      <c r="K88" s="7" t="n"/>
    </row>
    <row r="89" ht="14.25" customHeight="1">
      <c r="A89" s="5" t="inlineStr">
        <is>
          <t>7</t>
        </is>
      </c>
      <c r="B89" s="5" t="inlineStr">
        <is>
          <t>合计</t>
        </is>
      </c>
      <c r="C89" s="5" t="n"/>
      <c r="D89" s="5" t="n"/>
      <c r="E89" s="5" t="n"/>
      <c r="F89" s="5" t="n"/>
      <c r="G89" s="5" t="n"/>
      <c r="H89" s="5" t="n"/>
      <c r="I89" s="5" t="n"/>
      <c r="J89" s="6">
        <f>SUM(J87:J88)</f>
        <v/>
      </c>
      <c r="K89" s="7" t="n"/>
    </row>
    <row r="90" ht="14.25" customHeight="1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</row>
    <row r="91" ht="15" customHeight="1">
      <c r="A91" s="5" t="inlineStr">
        <is>
          <t>序号</t>
        </is>
      </c>
      <c r="B91" s="5" t="inlineStr">
        <is>
          <t>型号</t>
        </is>
      </c>
      <c r="C91" s="5" t="n"/>
      <c r="D91" s="5" t="inlineStr">
        <is>
          <t>名称</t>
        </is>
      </c>
      <c r="E91" s="5" t="inlineStr">
        <is>
          <t>规格</t>
        </is>
      </c>
      <c r="F91" s="5" t="n"/>
      <c r="G91" s="5" t="n"/>
      <c r="H91" s="5" t="inlineStr">
        <is>
          <t>数量</t>
        </is>
      </c>
      <c r="I91" s="5" t="inlineStr">
        <is>
          <t>单重(Kg)</t>
        </is>
      </c>
      <c r="J91" s="5" t="inlineStr">
        <is>
          <t>总重(Kg)</t>
        </is>
      </c>
      <c r="K91" s="5" t="inlineStr">
        <is>
          <t>备注</t>
        </is>
      </c>
    </row>
    <row r="92" ht="28.5" customHeight="1">
      <c r="A92" s="5" t="n"/>
      <c r="B92" s="5" t="inlineStr">
        <is>
          <t>屈服荷载(KN)</t>
        </is>
      </c>
      <c r="C92" s="5" t="inlineStr">
        <is>
          <t>长度(mm)</t>
        </is>
      </c>
      <c r="D92" s="5" t="n"/>
      <c r="E92" s="5" t="inlineStr">
        <is>
          <t>厚</t>
        </is>
      </c>
      <c r="F92" s="5" t="inlineStr">
        <is>
          <t>宽</t>
        </is>
      </c>
      <c r="G92" s="5" t="inlineStr">
        <is>
          <t>长</t>
        </is>
      </c>
      <c r="H92" s="5" t="n"/>
      <c r="I92" s="5" t="n"/>
      <c r="J92" s="5" t="n"/>
      <c r="K92" s="5" t="n"/>
    </row>
    <row r="93" ht="14.25" customHeight="1">
      <c r="A93" s="5" t="inlineStr">
        <is>
          <t>1</t>
        </is>
      </c>
      <c r="B93" s="5" t="n">
        <v>1300</v>
      </c>
      <c r="C93" s="5" t="n">
        <v>2600</v>
      </c>
      <c r="D93" s="5" t="inlineStr">
        <is>
          <t>芯板</t>
        </is>
      </c>
      <c r="E93" s="5" t="n">
        <v>12</v>
      </c>
      <c r="F93" s="5" t="n">
        <v>136</v>
      </c>
      <c r="G93" s="5">
        <f>C93</f>
        <v/>
      </c>
      <c r="H93" s="5" t="n">
        <v>7</v>
      </c>
      <c r="I93" s="6">
        <f>E93*F93*G93*0.00000785</f>
        <v/>
      </c>
      <c r="J93" s="6">
        <f>I93*H93</f>
        <v/>
      </c>
      <c r="K93" s="5" t="inlineStr">
        <is>
          <t>LY225</t>
        </is>
      </c>
    </row>
    <row r="94" ht="14.25" customHeight="1">
      <c r="A94" s="5" t="inlineStr">
        <is>
          <t>2</t>
        </is>
      </c>
      <c r="B94" s="5" t="n"/>
      <c r="C94" s="5" t="n"/>
      <c r="D94" s="5" t="inlineStr">
        <is>
          <t>翼缘板1</t>
        </is>
      </c>
      <c r="E94" s="5" t="n">
        <v>12</v>
      </c>
      <c r="F94" s="5" t="n">
        <v>160</v>
      </c>
      <c r="G94" s="5" t="inlineStr">
        <is>
          <t>300</t>
        </is>
      </c>
      <c r="H94" s="5" t="n">
        <v>28</v>
      </c>
      <c r="I94" s="6">
        <f>E94*F94*G94*0.00000785</f>
        <v/>
      </c>
      <c r="J94" s="6">
        <f>I94*H94</f>
        <v/>
      </c>
      <c r="K94" s="5" t="inlineStr">
        <is>
          <t>LY225</t>
        </is>
      </c>
    </row>
    <row r="95" ht="14.25" customHeight="1">
      <c r="A95" s="5" t="inlineStr">
        <is>
          <t>3</t>
        </is>
      </c>
      <c r="B95" s="5" t="n"/>
      <c r="C95" s="5" t="n"/>
      <c r="D95" s="5" t="inlineStr">
        <is>
          <t>翼缘板2</t>
        </is>
      </c>
      <c r="E95" s="5" t="n">
        <v>12</v>
      </c>
      <c r="F95" s="5" t="n">
        <v>74</v>
      </c>
      <c r="G95" s="5" t="inlineStr">
        <is>
          <t>300</t>
        </is>
      </c>
      <c r="H95" s="5" t="n">
        <v>28</v>
      </c>
      <c r="I95" s="6">
        <f>E95*F95*G95*0.00000785</f>
        <v/>
      </c>
      <c r="J95" s="6">
        <f>I95*H95</f>
        <v/>
      </c>
      <c r="K95" s="5" t="inlineStr">
        <is>
          <t>LY225</t>
        </is>
      </c>
    </row>
    <row r="96" ht="14.25" customHeight="1">
      <c r="A96" s="5" t="inlineStr">
        <is>
          <t>4</t>
        </is>
      </c>
      <c r="B96" s="5" t="n"/>
      <c r="C96" s="5" t="n"/>
      <c r="D96" s="5" t="inlineStr">
        <is>
          <t>挡板</t>
        </is>
      </c>
      <c r="E96" s="5" t="n">
        <v>6</v>
      </c>
      <c r="F96" s="5" t="n">
        <v>215</v>
      </c>
      <c r="G96" s="5">
        <f>f96</f>
        <v/>
      </c>
      <c r="H96" s="5" t="n">
        <v>14</v>
      </c>
      <c r="I96" s="6">
        <f>E96*F96*G96*0.00000785</f>
        <v/>
      </c>
      <c r="J96" s="6">
        <f>I96*H96</f>
        <v/>
      </c>
      <c r="K96" s="5" t="inlineStr">
        <is>
          <t>Q235B</t>
        </is>
      </c>
    </row>
    <row r="97" ht="14.25" customHeight="1">
      <c r="A97" s="5" t="inlineStr">
        <is>
          <t>5</t>
        </is>
      </c>
      <c r="B97" s="5" t="n"/>
      <c r="C97" s="5" t="n"/>
      <c r="D97" s="5" t="inlineStr">
        <is>
          <t>方管</t>
        </is>
      </c>
      <c r="E97" s="5" t="n">
        <v>4</v>
      </c>
      <c r="F97" s="5" t="n">
        <v>800</v>
      </c>
      <c r="G97" s="5">
        <f>C93-300</f>
        <v/>
      </c>
      <c r="H97" s="5" t="n">
        <v>7</v>
      </c>
      <c r="I97" s="6">
        <f>E97*F97*G97*0.00000785</f>
        <v/>
      </c>
      <c r="J97" s="6">
        <f>I97*H97</f>
        <v/>
      </c>
      <c r="K97" s="5" t="n"/>
    </row>
    <row r="98" ht="14.25" customHeight="1">
      <c r="A98" s="5" t="inlineStr">
        <is>
          <t>钢材合计：</t>
        </is>
      </c>
      <c r="B98" s="7" t="n"/>
      <c r="C98" s="7" t="n"/>
      <c r="D98" s="7" t="n"/>
      <c r="E98" s="7" t="n"/>
      <c r="F98" s="7" t="n"/>
      <c r="G98" s="7" t="n"/>
      <c r="H98" s="5" t="n"/>
      <c r="I98" s="6">
        <f>J98/7</f>
        <v/>
      </c>
      <c r="J98" s="6">
        <f>SUM(J93:J97)</f>
        <v/>
      </c>
      <c r="K98" s="5" t="inlineStr">
        <is>
          <t>王字</t>
        </is>
      </c>
    </row>
    <row r="99" ht="14.25" customHeight="1">
      <c r="A99" s="5" t="inlineStr">
        <is>
          <t>6</t>
        </is>
      </c>
      <c r="B99" s="5" t="inlineStr">
        <is>
          <t>灌浆</t>
        </is>
      </c>
      <c r="C99" s="5" t="n"/>
      <c r="D99" s="5" t="n"/>
      <c r="E99" s="5" t="n">
        <v>200</v>
      </c>
      <c r="F99" s="5" t="n">
        <v>200</v>
      </c>
      <c r="G99" s="5">
        <f>C93-300</f>
        <v/>
      </c>
      <c r="H99" s="5" t="n">
        <v>7</v>
      </c>
      <c r="I99" s="6">
        <f>E99*F99*G99*0.00000210</f>
        <v/>
      </c>
      <c r="J99" s="6">
        <f>I99*H99</f>
        <v/>
      </c>
      <c r="K99" s="7" t="n"/>
    </row>
    <row r="100" ht="14.25" customHeight="1">
      <c r="A100" s="5" t="inlineStr">
        <is>
          <t>7</t>
        </is>
      </c>
      <c r="B100" s="5" t="inlineStr">
        <is>
          <t>合计</t>
        </is>
      </c>
      <c r="C100" s="5" t="n"/>
      <c r="D100" s="5" t="n"/>
      <c r="E100" s="5" t="n"/>
      <c r="F100" s="5" t="n"/>
      <c r="G100" s="5" t="n"/>
      <c r="H100" s="5" t="n"/>
      <c r="I100" s="5" t="n"/>
      <c r="J100" s="6">
        <f>SUM(J98:J99)</f>
        <v/>
      </c>
      <c r="K100" s="7" t="n"/>
    </row>
    <row r="101" ht="14.25" customHeight="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</row>
    <row r="102" ht="15" customHeight="1">
      <c r="A102" s="5" t="inlineStr">
        <is>
          <t>序号</t>
        </is>
      </c>
      <c r="B102" s="5" t="inlineStr">
        <is>
          <t>型号</t>
        </is>
      </c>
      <c r="C102" s="5" t="n"/>
      <c r="D102" s="5" t="inlineStr">
        <is>
          <t>名称</t>
        </is>
      </c>
      <c r="E102" s="5" t="inlineStr">
        <is>
          <t>规格</t>
        </is>
      </c>
      <c r="F102" s="5" t="n"/>
      <c r="G102" s="5" t="n"/>
      <c r="H102" s="5" t="inlineStr">
        <is>
          <t>数量</t>
        </is>
      </c>
      <c r="I102" s="5" t="inlineStr">
        <is>
          <t>单重(Kg)</t>
        </is>
      </c>
      <c r="J102" s="5" t="inlineStr">
        <is>
          <t>总重(Kg)</t>
        </is>
      </c>
      <c r="K102" s="5" t="inlineStr">
        <is>
          <t>备注</t>
        </is>
      </c>
    </row>
    <row r="103" ht="28.5" customHeight="1">
      <c r="A103" s="5" t="n"/>
      <c r="B103" s="5" t="inlineStr">
        <is>
          <t>屈服荷载(KN)</t>
        </is>
      </c>
      <c r="C103" s="5" t="inlineStr">
        <is>
          <t>长度(mm)</t>
        </is>
      </c>
      <c r="D103" s="5" t="n"/>
      <c r="E103" s="5" t="inlineStr">
        <is>
          <t>厚</t>
        </is>
      </c>
      <c r="F103" s="5" t="inlineStr">
        <is>
          <t>宽</t>
        </is>
      </c>
      <c r="G103" s="5" t="inlineStr">
        <is>
          <t>长</t>
        </is>
      </c>
      <c r="H103" s="5" t="n"/>
      <c r="I103" s="5" t="n"/>
      <c r="J103" s="5" t="n"/>
      <c r="K103" s="5" t="n"/>
    </row>
    <row r="104" ht="14.25" customHeight="1">
      <c r="A104" s="5" t="inlineStr">
        <is>
          <t>1</t>
        </is>
      </c>
      <c r="B104" s="5" t="n">
        <v>1200</v>
      </c>
      <c r="C104" s="5" t="n">
        <v>3600</v>
      </c>
      <c r="D104" s="5" t="inlineStr">
        <is>
          <t>芯板</t>
        </is>
      </c>
      <c r="E104" s="5" t="n">
        <v>12</v>
      </c>
      <c r="F104" s="5" t="n">
        <v>126</v>
      </c>
      <c r="G104" s="5">
        <f>C104</f>
        <v/>
      </c>
      <c r="H104" s="5" t="n">
        <v>20</v>
      </c>
      <c r="I104" s="6">
        <f>E104*F104*G104*0.00000785</f>
        <v/>
      </c>
      <c r="J104" s="6">
        <f>I104*H104</f>
        <v/>
      </c>
      <c r="K104" s="5" t="inlineStr">
        <is>
          <t>LY225</t>
        </is>
      </c>
    </row>
    <row r="105" ht="14.25" customHeight="1">
      <c r="A105" s="5" t="inlineStr">
        <is>
          <t>2</t>
        </is>
      </c>
      <c r="B105" s="5" t="n"/>
      <c r="C105" s="5" t="n"/>
      <c r="D105" s="5" t="inlineStr">
        <is>
          <t>翼缘板1</t>
        </is>
      </c>
      <c r="E105" s="5" t="n">
        <v>12</v>
      </c>
      <c r="F105" s="5" t="n">
        <v>150</v>
      </c>
      <c r="G105" s="5" t="inlineStr">
        <is>
          <t>300</t>
        </is>
      </c>
      <c r="H105" s="5" t="n">
        <v>80</v>
      </c>
      <c r="I105" s="6">
        <f>E105*F105*G105*0.00000785</f>
        <v/>
      </c>
      <c r="J105" s="6">
        <f>I105*H105</f>
        <v/>
      </c>
      <c r="K105" s="5" t="inlineStr">
        <is>
          <t>LY225</t>
        </is>
      </c>
    </row>
    <row r="106" ht="14.25" customHeight="1">
      <c r="A106" s="5" t="inlineStr">
        <is>
          <t>3</t>
        </is>
      </c>
      <c r="B106" s="5" t="n"/>
      <c r="C106" s="5" t="n"/>
      <c r="D106" s="5" t="inlineStr">
        <is>
          <t>翼缘板2</t>
        </is>
      </c>
      <c r="E106" s="5" t="n">
        <v>12</v>
      </c>
      <c r="F106" s="5" t="n">
        <v>69</v>
      </c>
      <c r="G106" s="5" t="inlineStr">
        <is>
          <t>300</t>
        </is>
      </c>
      <c r="H106" s="5" t="n">
        <v>80</v>
      </c>
      <c r="I106" s="6">
        <f>E106*F106*G106*0.00000785</f>
        <v/>
      </c>
      <c r="J106" s="6">
        <f>I106*H106</f>
        <v/>
      </c>
      <c r="K106" s="5" t="inlineStr">
        <is>
          <t>LY225</t>
        </is>
      </c>
    </row>
    <row r="107" ht="14.25" customHeight="1">
      <c r="A107" s="5" t="inlineStr">
        <is>
          <t>4</t>
        </is>
      </c>
      <c r="B107" s="5" t="n"/>
      <c r="C107" s="5" t="n"/>
      <c r="D107" s="5" t="inlineStr">
        <is>
          <t>挡板</t>
        </is>
      </c>
      <c r="E107" s="5" t="n">
        <v>6</v>
      </c>
      <c r="F107" s="5" t="n">
        <v>215</v>
      </c>
      <c r="G107" s="5">
        <f>f107</f>
        <v/>
      </c>
      <c r="H107" s="5" t="n">
        <v>40</v>
      </c>
      <c r="I107" s="6">
        <f>E107*F107*G107*0.00000785</f>
        <v/>
      </c>
      <c r="J107" s="6">
        <f>I107*H107</f>
        <v/>
      </c>
      <c r="K107" s="5" t="inlineStr">
        <is>
          <t>Q235B</t>
        </is>
      </c>
    </row>
    <row r="108" ht="14.25" customHeight="1">
      <c r="A108" s="5" t="inlineStr">
        <is>
          <t>5</t>
        </is>
      </c>
      <c r="B108" s="5" t="n"/>
      <c r="C108" s="5" t="n"/>
      <c r="D108" s="5" t="inlineStr">
        <is>
          <t>方管</t>
        </is>
      </c>
      <c r="E108" s="5" t="n">
        <v>4</v>
      </c>
      <c r="F108" s="5" t="n">
        <v>800</v>
      </c>
      <c r="G108" s="5">
        <f>C104-300</f>
        <v/>
      </c>
      <c r="H108" s="5" t="n">
        <v>20</v>
      </c>
      <c r="I108" s="6">
        <f>E108*F108*G108*0.00000785</f>
        <v/>
      </c>
      <c r="J108" s="6">
        <f>I108*H108</f>
        <v/>
      </c>
      <c r="K108" s="5" t="n"/>
    </row>
    <row r="109" ht="14.25" customHeight="1">
      <c r="A109" s="5" t="inlineStr">
        <is>
          <t>钢材合计：</t>
        </is>
      </c>
      <c r="B109" s="7" t="n"/>
      <c r="C109" s="7" t="n"/>
      <c r="D109" s="7" t="n"/>
      <c r="E109" s="7" t="n"/>
      <c r="F109" s="7" t="n"/>
      <c r="G109" s="7" t="n"/>
      <c r="H109" s="5" t="n"/>
      <c r="I109" s="6">
        <f>J109/20</f>
        <v/>
      </c>
      <c r="J109" s="6">
        <f>SUM(J104:J108)</f>
        <v/>
      </c>
      <c r="K109" s="5" t="inlineStr">
        <is>
          <t>王字</t>
        </is>
      </c>
    </row>
    <row r="110" ht="14.25" customHeight="1">
      <c r="A110" s="5" t="inlineStr">
        <is>
          <t>6</t>
        </is>
      </c>
      <c r="B110" s="5" t="inlineStr">
        <is>
          <t>灌浆</t>
        </is>
      </c>
      <c r="C110" s="5" t="n"/>
      <c r="D110" s="5" t="n"/>
      <c r="E110" s="5" t="n">
        <v>200</v>
      </c>
      <c r="F110" s="5" t="n">
        <v>200</v>
      </c>
      <c r="G110" s="5">
        <f>C104-300</f>
        <v/>
      </c>
      <c r="H110" s="5" t="n">
        <v>20</v>
      </c>
      <c r="I110" s="6">
        <f>E110*F110*G110*0.00000210</f>
        <v/>
      </c>
      <c r="J110" s="6">
        <f>I110*H110</f>
        <v/>
      </c>
      <c r="K110" s="7" t="n"/>
    </row>
    <row r="111" ht="14.25" customHeight="1">
      <c r="A111" s="5" t="inlineStr">
        <is>
          <t>7</t>
        </is>
      </c>
      <c r="B111" s="5" t="inlineStr">
        <is>
          <t>合计</t>
        </is>
      </c>
      <c r="C111" s="5" t="n"/>
      <c r="D111" s="5" t="n"/>
      <c r="E111" s="5" t="n"/>
      <c r="F111" s="5" t="n"/>
      <c r="G111" s="5" t="n"/>
      <c r="H111" s="5" t="n"/>
      <c r="I111" s="5" t="n"/>
      <c r="J111" s="6">
        <f>SUM(J109:J110)</f>
        <v/>
      </c>
      <c r="K111" s="7" t="n"/>
    </row>
    <row r="112" ht="14.25" customHeight="1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</row>
    <row r="113" ht="15" customHeight="1">
      <c r="A113" s="5" t="inlineStr">
        <is>
          <t>序号</t>
        </is>
      </c>
      <c r="B113" s="5" t="inlineStr">
        <is>
          <t>型号</t>
        </is>
      </c>
      <c r="C113" s="5" t="n"/>
      <c r="D113" s="5" t="inlineStr">
        <is>
          <t>名称</t>
        </is>
      </c>
      <c r="E113" s="5" t="inlineStr">
        <is>
          <t>规格</t>
        </is>
      </c>
      <c r="F113" s="5" t="n"/>
      <c r="G113" s="5" t="n"/>
      <c r="H113" s="5" t="inlineStr">
        <is>
          <t>数量</t>
        </is>
      </c>
      <c r="I113" s="5" t="inlineStr">
        <is>
          <t>单重(Kg)</t>
        </is>
      </c>
      <c r="J113" s="5" t="inlineStr">
        <is>
          <t>总重(Kg)</t>
        </is>
      </c>
      <c r="K113" s="5" t="inlineStr">
        <is>
          <t>备注</t>
        </is>
      </c>
    </row>
    <row r="114" ht="28.5" customHeight="1">
      <c r="A114" s="5" t="n"/>
      <c r="B114" s="5" t="inlineStr">
        <is>
          <t>屈服荷载(KN)</t>
        </is>
      </c>
      <c r="C114" s="5" t="inlineStr">
        <is>
          <t>长度(mm)</t>
        </is>
      </c>
      <c r="D114" s="5" t="n"/>
      <c r="E114" s="5" t="inlineStr">
        <is>
          <t>厚</t>
        </is>
      </c>
      <c r="F114" s="5" t="inlineStr">
        <is>
          <t>宽</t>
        </is>
      </c>
      <c r="G114" s="5" t="inlineStr">
        <is>
          <t>长</t>
        </is>
      </c>
      <c r="H114" s="5" t="n"/>
      <c r="I114" s="5" t="n"/>
      <c r="J114" s="5" t="n"/>
      <c r="K114" s="5" t="n"/>
    </row>
    <row r="115" ht="14.25" customHeight="1">
      <c r="A115" s="5" t="inlineStr">
        <is>
          <t>1</t>
        </is>
      </c>
      <c r="B115" s="5" t="n">
        <v>1200</v>
      </c>
      <c r="C115" s="5" t="n">
        <v>3400</v>
      </c>
      <c r="D115" s="5" t="inlineStr">
        <is>
          <t>芯板</t>
        </is>
      </c>
      <c r="E115" s="5" t="n">
        <v>12</v>
      </c>
      <c r="F115" s="5" t="n">
        <v>126</v>
      </c>
      <c r="G115" s="5">
        <f>C115</f>
        <v/>
      </c>
      <c r="H115" s="5" t="n">
        <v>16</v>
      </c>
      <c r="I115" s="6">
        <f>E115*F115*G115*0.00000785</f>
        <v/>
      </c>
      <c r="J115" s="6">
        <f>I115*H115</f>
        <v/>
      </c>
      <c r="K115" s="5" t="inlineStr">
        <is>
          <t>LY225</t>
        </is>
      </c>
    </row>
    <row r="116" ht="14.25" customHeight="1">
      <c r="A116" s="5" t="inlineStr">
        <is>
          <t>2</t>
        </is>
      </c>
      <c r="B116" s="5" t="n"/>
      <c r="C116" s="5" t="n"/>
      <c r="D116" s="5" t="inlineStr">
        <is>
          <t>翼缘板1</t>
        </is>
      </c>
      <c r="E116" s="5" t="n">
        <v>12</v>
      </c>
      <c r="F116" s="5" t="n">
        <v>150</v>
      </c>
      <c r="G116" s="5" t="inlineStr">
        <is>
          <t>300</t>
        </is>
      </c>
      <c r="H116" s="5" t="n">
        <v>64</v>
      </c>
      <c r="I116" s="6">
        <f>E116*F116*G116*0.00000785</f>
        <v/>
      </c>
      <c r="J116" s="6">
        <f>I116*H116</f>
        <v/>
      </c>
      <c r="K116" s="5" t="inlineStr">
        <is>
          <t>LY225</t>
        </is>
      </c>
    </row>
    <row r="117" ht="14.25" customHeight="1">
      <c r="A117" s="5" t="inlineStr">
        <is>
          <t>3</t>
        </is>
      </c>
      <c r="B117" s="5" t="n"/>
      <c r="C117" s="5" t="n"/>
      <c r="D117" s="5" t="inlineStr">
        <is>
          <t>翼缘板2</t>
        </is>
      </c>
      <c r="E117" s="5" t="n">
        <v>12</v>
      </c>
      <c r="F117" s="5" t="n">
        <v>69</v>
      </c>
      <c r="G117" s="5" t="inlineStr">
        <is>
          <t>300</t>
        </is>
      </c>
      <c r="H117" s="5" t="n">
        <v>64</v>
      </c>
      <c r="I117" s="6">
        <f>E117*F117*G117*0.00000785</f>
        <v/>
      </c>
      <c r="J117" s="6">
        <f>I117*H117</f>
        <v/>
      </c>
      <c r="K117" s="5" t="inlineStr">
        <is>
          <t>LY225</t>
        </is>
      </c>
    </row>
    <row r="118" ht="14.25" customHeight="1">
      <c r="A118" s="5" t="inlineStr">
        <is>
          <t>4</t>
        </is>
      </c>
      <c r="B118" s="5" t="n"/>
      <c r="C118" s="5" t="n"/>
      <c r="D118" s="5" t="inlineStr">
        <is>
          <t>挡板</t>
        </is>
      </c>
      <c r="E118" s="5" t="n">
        <v>6</v>
      </c>
      <c r="F118" s="5" t="n">
        <v>215</v>
      </c>
      <c r="G118" s="5">
        <f>f118</f>
        <v/>
      </c>
      <c r="H118" s="5" t="n">
        <v>32</v>
      </c>
      <c r="I118" s="6">
        <f>E118*F118*G118*0.00000785</f>
        <v/>
      </c>
      <c r="J118" s="6">
        <f>I118*H118</f>
        <v/>
      </c>
      <c r="K118" s="5" t="inlineStr">
        <is>
          <t>Q235B</t>
        </is>
      </c>
    </row>
    <row r="119" ht="14.25" customHeight="1">
      <c r="A119" s="5" t="inlineStr">
        <is>
          <t>5</t>
        </is>
      </c>
      <c r="B119" s="5" t="n"/>
      <c r="C119" s="5" t="n"/>
      <c r="D119" s="5" t="inlineStr">
        <is>
          <t>方管</t>
        </is>
      </c>
      <c r="E119" s="5" t="n">
        <v>4</v>
      </c>
      <c r="F119" s="5" t="n">
        <v>800</v>
      </c>
      <c r="G119" s="5">
        <f>C115-300</f>
        <v/>
      </c>
      <c r="H119" s="5" t="n">
        <v>16</v>
      </c>
      <c r="I119" s="6">
        <f>E119*F119*G119*0.00000785</f>
        <v/>
      </c>
      <c r="J119" s="6">
        <f>I119*H119</f>
        <v/>
      </c>
      <c r="K119" s="5" t="n"/>
    </row>
    <row r="120" ht="14.25" customHeight="1">
      <c r="A120" s="5" t="inlineStr">
        <is>
          <t>钢材合计：</t>
        </is>
      </c>
      <c r="B120" s="7" t="n"/>
      <c r="C120" s="7" t="n"/>
      <c r="D120" s="7" t="n"/>
      <c r="E120" s="7" t="n"/>
      <c r="F120" s="7" t="n"/>
      <c r="G120" s="7" t="n"/>
      <c r="H120" s="5" t="n"/>
      <c r="I120" s="6">
        <f>J120/16</f>
        <v/>
      </c>
      <c r="J120" s="6">
        <f>SUM(J115:J119)</f>
        <v/>
      </c>
      <c r="K120" s="5" t="inlineStr">
        <is>
          <t>王字</t>
        </is>
      </c>
    </row>
    <row r="121" ht="14.25" customHeight="1">
      <c r="A121" s="5" t="inlineStr">
        <is>
          <t>6</t>
        </is>
      </c>
      <c r="B121" s="5" t="inlineStr">
        <is>
          <t>灌浆</t>
        </is>
      </c>
      <c r="C121" s="5" t="n"/>
      <c r="D121" s="5" t="n"/>
      <c r="E121" s="5" t="n">
        <v>200</v>
      </c>
      <c r="F121" s="5" t="n">
        <v>200</v>
      </c>
      <c r="G121" s="5">
        <f>C115-300</f>
        <v/>
      </c>
      <c r="H121" s="5" t="n">
        <v>16</v>
      </c>
      <c r="I121" s="6">
        <f>E121*F121*G121*0.00000210</f>
        <v/>
      </c>
      <c r="J121" s="6">
        <f>I121*H121</f>
        <v/>
      </c>
      <c r="K121" s="7" t="n"/>
    </row>
    <row r="122" ht="14.25" customHeight="1">
      <c r="A122" s="5" t="inlineStr">
        <is>
          <t>7</t>
        </is>
      </c>
      <c r="B122" s="5" t="inlineStr">
        <is>
          <t>合计</t>
        </is>
      </c>
      <c r="C122" s="5" t="n"/>
      <c r="D122" s="5" t="n"/>
      <c r="E122" s="5" t="n"/>
      <c r="F122" s="5" t="n"/>
      <c r="G122" s="5" t="n"/>
      <c r="H122" s="5" t="n"/>
      <c r="I122" s="5" t="n"/>
      <c r="J122" s="6">
        <f>SUM(J120:J121)</f>
        <v/>
      </c>
      <c r="K122" s="7" t="n"/>
    </row>
    <row r="123" ht="14.25" customHeight="1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</row>
    <row r="124" ht="15" customHeight="1">
      <c r="A124" s="5" t="inlineStr">
        <is>
          <t>序号</t>
        </is>
      </c>
      <c r="B124" s="5" t="inlineStr">
        <is>
          <t>型号</t>
        </is>
      </c>
      <c r="C124" s="5" t="n"/>
      <c r="D124" s="5" t="inlineStr">
        <is>
          <t>名称</t>
        </is>
      </c>
      <c r="E124" s="5" t="inlineStr">
        <is>
          <t>规格</t>
        </is>
      </c>
      <c r="F124" s="5" t="n"/>
      <c r="G124" s="5" t="n"/>
      <c r="H124" s="5" t="inlineStr">
        <is>
          <t>数量</t>
        </is>
      </c>
      <c r="I124" s="5" t="inlineStr">
        <is>
          <t>单重(Kg)</t>
        </is>
      </c>
      <c r="J124" s="5" t="inlineStr">
        <is>
          <t>总重(Kg)</t>
        </is>
      </c>
      <c r="K124" s="5" t="inlineStr">
        <is>
          <t>备注</t>
        </is>
      </c>
    </row>
    <row r="125" ht="28.5" customHeight="1">
      <c r="A125" s="5" t="n"/>
      <c r="B125" s="5" t="inlineStr">
        <is>
          <t>屈服荷载(KN)</t>
        </is>
      </c>
      <c r="C125" s="5" t="inlineStr">
        <is>
          <t>长度(mm)</t>
        </is>
      </c>
      <c r="D125" s="5" t="n"/>
      <c r="E125" s="5" t="inlineStr">
        <is>
          <t>厚</t>
        </is>
      </c>
      <c r="F125" s="5" t="inlineStr">
        <is>
          <t>宽</t>
        </is>
      </c>
      <c r="G125" s="5" t="inlineStr">
        <is>
          <t>长</t>
        </is>
      </c>
      <c r="H125" s="5" t="n"/>
      <c r="I125" s="5" t="n"/>
      <c r="J125" s="5" t="n"/>
      <c r="K125" s="5" t="n"/>
    </row>
    <row r="126" ht="14.25" customHeight="1">
      <c r="A126" s="5" t="inlineStr">
        <is>
          <t>1</t>
        </is>
      </c>
      <c r="B126" s="5" t="n">
        <v>1200</v>
      </c>
      <c r="C126" s="5" t="n">
        <v>2700</v>
      </c>
      <c r="D126" s="5" t="inlineStr">
        <is>
          <t>芯板</t>
        </is>
      </c>
      <c r="E126" s="5" t="n">
        <v>12</v>
      </c>
      <c r="F126" s="5" t="n">
        <v>126</v>
      </c>
      <c r="G126" s="5">
        <f>C126</f>
        <v/>
      </c>
      <c r="H126" s="5" t="n">
        <v>8</v>
      </c>
      <c r="I126" s="6">
        <f>E126*F126*G126*0.00000785</f>
        <v/>
      </c>
      <c r="J126" s="6">
        <f>I126*H126</f>
        <v/>
      </c>
      <c r="K126" s="5" t="inlineStr">
        <is>
          <t>LY225</t>
        </is>
      </c>
    </row>
    <row r="127" ht="14.25" customHeight="1">
      <c r="A127" s="5" t="inlineStr">
        <is>
          <t>2</t>
        </is>
      </c>
      <c r="B127" s="5" t="n"/>
      <c r="C127" s="5" t="n"/>
      <c r="D127" s="5" t="inlineStr">
        <is>
          <t>翼缘板1</t>
        </is>
      </c>
      <c r="E127" s="5" t="n">
        <v>12</v>
      </c>
      <c r="F127" s="5" t="n">
        <v>150</v>
      </c>
      <c r="G127" s="5" t="inlineStr">
        <is>
          <t>300</t>
        </is>
      </c>
      <c r="H127" s="5" t="n">
        <v>32</v>
      </c>
      <c r="I127" s="6">
        <f>E127*F127*G127*0.00000785</f>
        <v/>
      </c>
      <c r="J127" s="6">
        <f>I127*H127</f>
        <v/>
      </c>
      <c r="K127" s="5" t="inlineStr">
        <is>
          <t>LY225</t>
        </is>
      </c>
    </row>
    <row r="128" ht="14.25" customHeight="1">
      <c r="A128" s="5" t="inlineStr">
        <is>
          <t>3</t>
        </is>
      </c>
      <c r="B128" s="5" t="n"/>
      <c r="C128" s="5" t="n"/>
      <c r="D128" s="5" t="inlineStr">
        <is>
          <t>翼缘板2</t>
        </is>
      </c>
      <c r="E128" s="5" t="n">
        <v>12</v>
      </c>
      <c r="F128" s="5" t="n">
        <v>69</v>
      </c>
      <c r="G128" s="5" t="inlineStr">
        <is>
          <t>300</t>
        </is>
      </c>
      <c r="H128" s="5" t="n">
        <v>32</v>
      </c>
      <c r="I128" s="6">
        <f>E128*F128*G128*0.00000785</f>
        <v/>
      </c>
      <c r="J128" s="6">
        <f>I128*H128</f>
        <v/>
      </c>
      <c r="K128" s="5" t="inlineStr">
        <is>
          <t>LY225</t>
        </is>
      </c>
    </row>
    <row r="129" ht="14.25" customHeight="1">
      <c r="A129" s="5" t="inlineStr">
        <is>
          <t>4</t>
        </is>
      </c>
      <c r="B129" s="5" t="n"/>
      <c r="C129" s="5" t="n"/>
      <c r="D129" s="5" t="inlineStr">
        <is>
          <t>挡板</t>
        </is>
      </c>
      <c r="E129" s="5" t="n">
        <v>6</v>
      </c>
      <c r="F129" s="5" t="n">
        <v>215</v>
      </c>
      <c r="G129" s="5">
        <f>f129</f>
        <v/>
      </c>
      <c r="H129" s="5" t="n">
        <v>16</v>
      </c>
      <c r="I129" s="6">
        <f>E129*F129*G129*0.00000785</f>
        <v/>
      </c>
      <c r="J129" s="6">
        <f>I129*H129</f>
        <v/>
      </c>
      <c r="K129" s="5" t="inlineStr">
        <is>
          <t>Q235B</t>
        </is>
      </c>
    </row>
    <row r="130" ht="14.25" customHeight="1">
      <c r="A130" s="5" t="inlineStr">
        <is>
          <t>5</t>
        </is>
      </c>
      <c r="B130" s="5" t="n"/>
      <c r="C130" s="5" t="n"/>
      <c r="D130" s="5" t="inlineStr">
        <is>
          <t>方管</t>
        </is>
      </c>
      <c r="E130" s="5" t="n">
        <v>4</v>
      </c>
      <c r="F130" s="5" t="n">
        <v>800</v>
      </c>
      <c r="G130" s="5">
        <f>C126-300</f>
        <v/>
      </c>
      <c r="H130" s="5" t="n">
        <v>8</v>
      </c>
      <c r="I130" s="6">
        <f>E130*F130*G130*0.00000785</f>
        <v/>
      </c>
      <c r="J130" s="6">
        <f>I130*H130</f>
        <v/>
      </c>
      <c r="K130" s="5" t="n"/>
    </row>
    <row r="131" ht="14.25" customHeight="1">
      <c r="A131" s="5" t="inlineStr">
        <is>
          <t>钢材合计：</t>
        </is>
      </c>
      <c r="B131" s="7" t="n"/>
      <c r="C131" s="7" t="n"/>
      <c r="D131" s="7" t="n"/>
      <c r="E131" s="7" t="n"/>
      <c r="F131" s="7" t="n"/>
      <c r="G131" s="7" t="n"/>
      <c r="H131" s="5" t="n"/>
      <c r="I131" s="6">
        <f>J131/8</f>
        <v/>
      </c>
      <c r="J131" s="6">
        <f>SUM(J126:J130)</f>
        <v/>
      </c>
      <c r="K131" s="5" t="inlineStr">
        <is>
          <t>王字</t>
        </is>
      </c>
    </row>
    <row r="132" ht="14.25" customHeight="1">
      <c r="A132" s="5" t="inlineStr">
        <is>
          <t>6</t>
        </is>
      </c>
      <c r="B132" s="5" t="inlineStr">
        <is>
          <t>灌浆</t>
        </is>
      </c>
      <c r="C132" s="5" t="n"/>
      <c r="D132" s="5" t="n"/>
      <c r="E132" s="5" t="n">
        <v>200</v>
      </c>
      <c r="F132" s="5" t="n">
        <v>200</v>
      </c>
      <c r="G132" s="5">
        <f>C126-300</f>
        <v/>
      </c>
      <c r="H132" s="5" t="n">
        <v>8</v>
      </c>
      <c r="I132" s="6">
        <f>E132*F132*G132*0.00000210</f>
        <v/>
      </c>
      <c r="J132" s="6">
        <f>I132*H132</f>
        <v/>
      </c>
      <c r="K132" s="7" t="n"/>
    </row>
    <row r="133" ht="14.25" customHeight="1">
      <c r="A133" s="5" t="inlineStr">
        <is>
          <t>7</t>
        </is>
      </c>
      <c r="B133" s="5" t="inlineStr">
        <is>
          <t>合计</t>
        </is>
      </c>
      <c r="C133" s="5" t="n"/>
      <c r="D133" s="5" t="n"/>
      <c r="E133" s="5" t="n"/>
      <c r="F133" s="5" t="n"/>
      <c r="G133" s="5" t="n"/>
      <c r="H133" s="5" t="n"/>
      <c r="I133" s="5" t="n"/>
      <c r="J133" s="6">
        <f>SUM(J131:J132)</f>
        <v/>
      </c>
      <c r="K133" s="7" t="n"/>
    </row>
    <row r="134" ht="14.25" customHeight="1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</row>
    <row r="135" ht="15" customHeight="1">
      <c r="A135" s="5" t="inlineStr">
        <is>
          <t>序号</t>
        </is>
      </c>
      <c r="B135" s="5" t="inlineStr">
        <is>
          <t>型号</t>
        </is>
      </c>
      <c r="C135" s="5" t="n"/>
      <c r="D135" s="5" t="inlineStr">
        <is>
          <t>名称</t>
        </is>
      </c>
      <c r="E135" s="5" t="inlineStr">
        <is>
          <t>规格</t>
        </is>
      </c>
      <c r="F135" s="5" t="n"/>
      <c r="G135" s="5" t="n"/>
      <c r="H135" s="5" t="inlineStr">
        <is>
          <t>数量</t>
        </is>
      </c>
      <c r="I135" s="5" t="inlineStr">
        <is>
          <t>单重(Kg)</t>
        </is>
      </c>
      <c r="J135" s="5" t="inlineStr">
        <is>
          <t>总重(Kg)</t>
        </is>
      </c>
      <c r="K135" s="5" t="inlineStr">
        <is>
          <t>备注</t>
        </is>
      </c>
    </row>
    <row r="136" ht="28.5" customHeight="1">
      <c r="A136" s="5" t="n"/>
      <c r="B136" s="5" t="inlineStr">
        <is>
          <t>屈服荷载(KN)</t>
        </is>
      </c>
      <c r="C136" s="5" t="inlineStr">
        <is>
          <t>长度(mm)</t>
        </is>
      </c>
      <c r="D136" s="5" t="n"/>
      <c r="E136" s="5" t="inlineStr">
        <is>
          <t>厚</t>
        </is>
      </c>
      <c r="F136" s="5" t="inlineStr">
        <is>
          <t>宽</t>
        </is>
      </c>
      <c r="G136" s="5" t="inlineStr">
        <is>
          <t>长</t>
        </is>
      </c>
      <c r="H136" s="5" t="n"/>
      <c r="I136" s="5" t="n"/>
      <c r="J136" s="5" t="n"/>
      <c r="K136" s="5" t="n"/>
    </row>
    <row r="137" ht="14.25" customHeight="1">
      <c r="A137" s="5" t="inlineStr">
        <is>
          <t>1</t>
        </is>
      </c>
      <c r="B137" s="5" t="n">
        <v>400</v>
      </c>
      <c r="C137" s="5" t="n">
        <v>7100</v>
      </c>
      <c r="D137" s="5" t="inlineStr">
        <is>
          <t>芯板</t>
        </is>
      </c>
      <c r="E137" s="5" t="n">
        <v>12</v>
      </c>
      <c r="F137" s="5" t="n">
        <v>140</v>
      </c>
      <c r="G137" s="5">
        <f>C137</f>
        <v/>
      </c>
      <c r="H137" s="5" t="n">
        <v>1</v>
      </c>
      <c r="I137" s="6">
        <f>E137*F137*G137*0.00000785</f>
        <v/>
      </c>
      <c r="J137" s="6">
        <f>I137*H137</f>
        <v/>
      </c>
      <c r="K137" s="5" t="inlineStr">
        <is>
          <t>LY225</t>
        </is>
      </c>
    </row>
    <row r="138" ht="14.25" customHeight="1">
      <c r="A138" s="5" t="inlineStr">
        <is>
          <t>2</t>
        </is>
      </c>
      <c r="B138" s="5" t="n"/>
      <c r="C138" s="5" t="n"/>
      <c r="D138" s="5" t="inlineStr">
        <is>
          <t>翼缘板</t>
        </is>
      </c>
      <c r="E138" s="5" t="n">
        <v>12</v>
      </c>
      <c r="F138" s="5" t="n">
        <v>64</v>
      </c>
      <c r="G138" s="5" t="inlineStr">
        <is>
          <t>300</t>
        </is>
      </c>
      <c r="H138" s="5" t="n">
        <v>4</v>
      </c>
      <c r="I138" s="6">
        <f>E138*F138*G138*0.00000785</f>
        <v/>
      </c>
      <c r="J138" s="6">
        <f>I138*H138</f>
        <v/>
      </c>
      <c r="K138" s="5" t="inlineStr">
        <is>
          <t>LY225</t>
        </is>
      </c>
    </row>
    <row r="139" ht="14.25" customHeight="1">
      <c r="A139" s="5" t="inlineStr">
        <is>
          <t>3</t>
        </is>
      </c>
      <c r="B139" s="5" t="n"/>
      <c r="C139" s="5" t="n"/>
      <c r="D139" s="5" t="inlineStr">
        <is>
          <t>挡板</t>
        </is>
      </c>
      <c r="E139" s="5" t="n">
        <v>6</v>
      </c>
      <c r="F139" s="5" t="n">
        <v>215</v>
      </c>
      <c r="G139" s="5">
        <f>f140</f>
        <v/>
      </c>
      <c r="H139" s="5" t="n">
        <v>2</v>
      </c>
      <c r="I139" s="6">
        <f>E139*F139*G139*0.00000785</f>
        <v/>
      </c>
      <c r="J139" s="6">
        <f>I139*H139</f>
        <v/>
      </c>
      <c r="K139" s="5" t="inlineStr">
        <is>
          <t>Q235B</t>
        </is>
      </c>
    </row>
    <row r="140" ht="14.25" customHeight="1">
      <c r="A140" s="5" t="inlineStr">
        <is>
          <t>4</t>
        </is>
      </c>
      <c r="B140" s="5" t="n"/>
      <c r="C140" s="5" t="n"/>
      <c r="D140" s="5" t="inlineStr">
        <is>
          <t>方管</t>
        </is>
      </c>
      <c r="E140" s="5" t="n">
        <v>4</v>
      </c>
      <c r="F140" s="5" t="n">
        <v>800</v>
      </c>
      <c r="G140" s="5">
        <f>C137-300</f>
        <v/>
      </c>
      <c r="H140" s="5" t="n">
        <v>1</v>
      </c>
      <c r="I140" s="6">
        <f>E140*F140*G140*0.00000785</f>
        <v/>
      </c>
      <c r="J140" s="6">
        <f>I140*H140</f>
        <v/>
      </c>
      <c r="K140" s="5" t="n"/>
    </row>
    <row r="141" ht="14.25" customHeight="1">
      <c r="A141" s="5" t="inlineStr">
        <is>
          <t>钢材合计：</t>
        </is>
      </c>
      <c r="B141" s="7" t="n"/>
      <c r="C141" s="7" t="n"/>
      <c r="D141" s="7" t="n"/>
      <c r="E141" s="7" t="n"/>
      <c r="F141" s="7" t="n"/>
      <c r="G141" s="7" t="n"/>
      <c r="H141" s="5" t="n"/>
      <c r="I141" s="6">
        <f>J141/1</f>
        <v/>
      </c>
      <c r="J141" s="6">
        <f>SUM(J137:J140)</f>
        <v/>
      </c>
      <c r="K141" s="5" t="inlineStr">
        <is>
          <t>十字</t>
        </is>
      </c>
    </row>
    <row r="142" ht="14.25" customHeight="1">
      <c r="A142" s="5" t="inlineStr">
        <is>
          <t>5</t>
        </is>
      </c>
      <c r="B142" s="5" t="inlineStr">
        <is>
          <t>灌浆</t>
        </is>
      </c>
      <c r="C142" s="5" t="n"/>
      <c r="D142" s="5" t="n"/>
      <c r="E142" s="5" t="n">
        <v>200</v>
      </c>
      <c r="F142" s="5" t="n">
        <v>200</v>
      </c>
      <c r="G142" s="5">
        <f>C137-300</f>
        <v/>
      </c>
      <c r="H142" s="5" t="n">
        <v>1</v>
      </c>
      <c r="I142" s="6">
        <f>E142*F142*G142*0.00000210</f>
        <v/>
      </c>
      <c r="J142" s="6">
        <f>I142*H142</f>
        <v/>
      </c>
      <c r="K142" s="7" t="n"/>
    </row>
    <row r="143" ht="14.25" customHeight="1">
      <c r="A143" s="5" t="inlineStr">
        <is>
          <t>6</t>
        </is>
      </c>
      <c r="B143" s="5" t="inlineStr">
        <is>
          <t>合计</t>
        </is>
      </c>
      <c r="C143" s="5" t="n"/>
      <c r="D143" s="5" t="n"/>
      <c r="E143" s="5" t="n"/>
      <c r="F143" s="5" t="n"/>
      <c r="G143" s="5" t="n"/>
      <c r="H143" s="5" t="n"/>
      <c r="I143" s="5" t="n"/>
      <c r="J143" s="6">
        <f>SUM(J141:J142)</f>
        <v/>
      </c>
      <c r="K143" s="7" t="n"/>
    </row>
    <row r="144" ht="14.25" customHeight="1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</row>
    <row r="145" ht="15" customHeight="1">
      <c r="A145" s="5" t="inlineStr">
        <is>
          <t>序号</t>
        </is>
      </c>
      <c r="B145" s="5" t="inlineStr">
        <is>
          <t>型号</t>
        </is>
      </c>
      <c r="C145" s="5" t="n"/>
      <c r="D145" s="5" t="inlineStr">
        <is>
          <t>名称</t>
        </is>
      </c>
      <c r="E145" s="5" t="inlineStr">
        <is>
          <t>规格</t>
        </is>
      </c>
      <c r="F145" s="5" t="n"/>
      <c r="G145" s="5" t="n"/>
      <c r="H145" s="5" t="inlineStr">
        <is>
          <t>数量</t>
        </is>
      </c>
      <c r="I145" s="5" t="inlineStr">
        <is>
          <t>单重(Kg)</t>
        </is>
      </c>
      <c r="J145" s="5" t="inlineStr">
        <is>
          <t>总重(Kg)</t>
        </is>
      </c>
      <c r="K145" s="5" t="inlineStr">
        <is>
          <t>备注</t>
        </is>
      </c>
    </row>
    <row r="146" ht="28.5" customHeight="1">
      <c r="A146" s="5" t="n"/>
      <c r="B146" s="5" t="inlineStr">
        <is>
          <t>屈服荷载(KN)</t>
        </is>
      </c>
      <c r="C146" s="5" t="inlineStr">
        <is>
          <t>长度(mm)</t>
        </is>
      </c>
      <c r="D146" s="5" t="n"/>
      <c r="E146" s="5" t="inlineStr">
        <is>
          <t>厚</t>
        </is>
      </c>
      <c r="F146" s="5" t="inlineStr">
        <is>
          <t>宽</t>
        </is>
      </c>
      <c r="G146" s="5" t="inlineStr">
        <is>
          <t>长</t>
        </is>
      </c>
      <c r="H146" s="5" t="n"/>
      <c r="I146" s="5" t="n"/>
      <c r="J146" s="5" t="n"/>
      <c r="K146" s="5" t="n"/>
    </row>
    <row r="147" ht="14.25" customHeight="1">
      <c r="A147" s="5" t="inlineStr">
        <is>
          <t>1</t>
        </is>
      </c>
      <c r="B147" s="5" t="n">
        <v>400</v>
      </c>
      <c r="C147" s="5" t="n">
        <v>4100</v>
      </c>
      <c r="D147" s="5" t="inlineStr">
        <is>
          <t>芯板</t>
        </is>
      </c>
      <c r="E147" s="5" t="n">
        <v>12</v>
      </c>
      <c r="F147" s="5" t="n">
        <v>140</v>
      </c>
      <c r="G147" s="5">
        <f>C147</f>
        <v/>
      </c>
      <c r="H147" s="5" t="n">
        <v>1</v>
      </c>
      <c r="I147" s="6">
        <f>E147*F147*G147*0.00000785</f>
        <v/>
      </c>
      <c r="J147" s="6">
        <f>I147*H147</f>
        <v/>
      </c>
      <c r="K147" s="5" t="inlineStr">
        <is>
          <t>LY225</t>
        </is>
      </c>
    </row>
    <row r="148" ht="14.25" customHeight="1">
      <c r="A148" s="5" t="inlineStr">
        <is>
          <t>2</t>
        </is>
      </c>
      <c r="B148" s="5" t="n"/>
      <c r="C148" s="5" t="n"/>
      <c r="D148" s="5" t="inlineStr">
        <is>
          <t>翼缘板</t>
        </is>
      </c>
      <c r="E148" s="5" t="n">
        <v>12</v>
      </c>
      <c r="F148" s="5" t="n">
        <v>64</v>
      </c>
      <c r="G148" s="5" t="inlineStr">
        <is>
          <t>300</t>
        </is>
      </c>
      <c r="H148" s="5" t="n">
        <v>4</v>
      </c>
      <c r="I148" s="6">
        <f>E148*F148*G148*0.00000785</f>
        <v/>
      </c>
      <c r="J148" s="6">
        <f>I148*H148</f>
        <v/>
      </c>
      <c r="K148" s="5" t="inlineStr">
        <is>
          <t>LY225</t>
        </is>
      </c>
    </row>
    <row r="149" ht="14.25" customHeight="1">
      <c r="A149" s="5" t="inlineStr">
        <is>
          <t>3</t>
        </is>
      </c>
      <c r="B149" s="5" t="n"/>
      <c r="C149" s="5" t="n"/>
      <c r="D149" s="5" t="inlineStr">
        <is>
          <t>挡板</t>
        </is>
      </c>
      <c r="E149" s="5" t="n">
        <v>6</v>
      </c>
      <c r="F149" s="5" t="n">
        <v>215</v>
      </c>
      <c r="G149" s="5">
        <f>f150</f>
        <v/>
      </c>
      <c r="H149" s="5" t="n">
        <v>2</v>
      </c>
      <c r="I149" s="6">
        <f>E149*F149*G149*0.00000785</f>
        <v/>
      </c>
      <c r="J149" s="6">
        <f>I149*H149</f>
        <v/>
      </c>
      <c r="K149" s="5" t="inlineStr">
        <is>
          <t>Q235B</t>
        </is>
      </c>
    </row>
    <row r="150" ht="14.25" customHeight="1">
      <c r="A150" s="5" t="inlineStr">
        <is>
          <t>4</t>
        </is>
      </c>
      <c r="B150" s="5" t="n"/>
      <c r="C150" s="5" t="n"/>
      <c r="D150" s="5" t="inlineStr">
        <is>
          <t>方管</t>
        </is>
      </c>
      <c r="E150" s="5" t="n">
        <v>4</v>
      </c>
      <c r="F150" s="5" t="n">
        <v>800</v>
      </c>
      <c r="G150" s="5">
        <f>C147-300</f>
        <v/>
      </c>
      <c r="H150" s="5" t="n">
        <v>1</v>
      </c>
      <c r="I150" s="6">
        <f>E150*F150*G150*0.00000785</f>
        <v/>
      </c>
      <c r="J150" s="6">
        <f>I150*H150</f>
        <v/>
      </c>
      <c r="K150" s="5" t="n"/>
    </row>
    <row r="151" ht="14.25" customHeight="1">
      <c r="A151" s="5" t="inlineStr">
        <is>
          <t>钢材合计：</t>
        </is>
      </c>
      <c r="B151" s="7" t="n"/>
      <c r="C151" s="7" t="n"/>
      <c r="D151" s="7" t="n"/>
      <c r="E151" s="7" t="n"/>
      <c r="F151" s="7" t="n"/>
      <c r="G151" s="7" t="n"/>
      <c r="H151" s="5" t="n"/>
      <c r="I151" s="6">
        <f>J151/1</f>
        <v/>
      </c>
      <c r="J151" s="6">
        <f>SUM(J147:J150)</f>
        <v/>
      </c>
      <c r="K151" s="5" t="inlineStr">
        <is>
          <t>十字</t>
        </is>
      </c>
    </row>
    <row r="152" ht="14.25" customHeight="1">
      <c r="A152" s="5" t="inlineStr">
        <is>
          <t>5</t>
        </is>
      </c>
      <c r="B152" s="5" t="inlineStr">
        <is>
          <t>灌浆</t>
        </is>
      </c>
      <c r="C152" s="5" t="n"/>
      <c r="D152" s="5" t="n"/>
      <c r="E152" s="5" t="n">
        <v>200</v>
      </c>
      <c r="F152" s="5" t="n">
        <v>200</v>
      </c>
      <c r="G152" s="5">
        <f>C147-300</f>
        <v/>
      </c>
      <c r="H152" s="5" t="n">
        <v>1</v>
      </c>
      <c r="I152" s="6">
        <f>E152*F152*G152*0.00000210</f>
        <v/>
      </c>
      <c r="J152" s="6">
        <f>I152*H152</f>
        <v/>
      </c>
      <c r="K152" s="7" t="n"/>
    </row>
    <row r="153" ht="14.25" customHeight="1">
      <c r="A153" s="5" t="inlineStr">
        <is>
          <t>6</t>
        </is>
      </c>
      <c r="B153" s="5" t="inlineStr">
        <is>
          <t>合计</t>
        </is>
      </c>
      <c r="C153" s="5" t="n"/>
      <c r="D153" s="5" t="n"/>
      <c r="E153" s="5" t="n"/>
      <c r="F153" s="5" t="n"/>
      <c r="G153" s="5" t="n"/>
      <c r="H153" s="5" t="n"/>
      <c r="I153" s="5" t="n"/>
      <c r="J153" s="6">
        <f>SUM(J151:J152)</f>
        <v/>
      </c>
      <c r="K153" s="7" t="n"/>
    </row>
    <row r="154" ht="14.25" customHeight="1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</row>
    <row r="155" ht="15" customHeight="1">
      <c r="A155" s="5" t="inlineStr">
        <is>
          <t>序号</t>
        </is>
      </c>
      <c r="B155" s="5" t="inlineStr">
        <is>
          <t>型号</t>
        </is>
      </c>
      <c r="C155" s="5" t="n"/>
      <c r="D155" s="5" t="inlineStr">
        <is>
          <t>名称</t>
        </is>
      </c>
      <c r="E155" s="5" t="inlineStr">
        <is>
          <t>规格</t>
        </is>
      </c>
      <c r="F155" s="5" t="n"/>
      <c r="G155" s="5" t="n"/>
      <c r="H155" s="5" t="inlineStr">
        <is>
          <t>数量</t>
        </is>
      </c>
      <c r="I155" s="5" t="inlineStr">
        <is>
          <t>单重(Kg)</t>
        </is>
      </c>
      <c r="J155" s="5" t="inlineStr">
        <is>
          <t>总重(Kg)</t>
        </is>
      </c>
      <c r="K155" s="5" t="inlineStr">
        <is>
          <t>备注</t>
        </is>
      </c>
    </row>
    <row r="156" ht="28.5" customHeight="1">
      <c r="A156" s="5" t="n"/>
      <c r="B156" s="5" t="inlineStr">
        <is>
          <t>屈服荷载(KN)</t>
        </is>
      </c>
      <c r="C156" s="5" t="inlineStr">
        <is>
          <t>长度(mm)</t>
        </is>
      </c>
      <c r="D156" s="5" t="n"/>
      <c r="E156" s="5" t="inlineStr">
        <is>
          <t>厚</t>
        </is>
      </c>
      <c r="F156" s="5" t="inlineStr">
        <is>
          <t>宽</t>
        </is>
      </c>
      <c r="G156" s="5" t="inlineStr">
        <is>
          <t>长</t>
        </is>
      </c>
      <c r="H156" s="5" t="n"/>
      <c r="I156" s="5" t="n"/>
      <c r="J156" s="5" t="n"/>
      <c r="K156" s="5" t="n"/>
    </row>
    <row r="157" ht="14.25" customHeight="1">
      <c r="A157" s="5" t="inlineStr">
        <is>
          <t>1</t>
        </is>
      </c>
      <c r="B157" s="5" t="n">
        <v>400</v>
      </c>
      <c r="C157" s="5" t="n">
        <v>3700</v>
      </c>
      <c r="D157" s="5" t="inlineStr">
        <is>
          <t>芯板</t>
        </is>
      </c>
      <c r="E157" s="5" t="n">
        <v>12</v>
      </c>
      <c r="F157" s="5" t="n">
        <v>140</v>
      </c>
      <c r="G157" s="5">
        <f>C157</f>
        <v/>
      </c>
      <c r="H157" s="5" t="n">
        <v>8</v>
      </c>
      <c r="I157" s="6">
        <f>E157*F157*G157*0.00000785</f>
        <v/>
      </c>
      <c r="J157" s="6">
        <f>I157*H157</f>
        <v/>
      </c>
      <c r="K157" s="5" t="inlineStr">
        <is>
          <t>LY225</t>
        </is>
      </c>
    </row>
    <row r="158" ht="14.25" customHeight="1">
      <c r="A158" s="5" t="inlineStr">
        <is>
          <t>2</t>
        </is>
      </c>
      <c r="B158" s="5" t="n"/>
      <c r="C158" s="5" t="n"/>
      <c r="D158" s="5" t="inlineStr">
        <is>
          <t>翼缘板</t>
        </is>
      </c>
      <c r="E158" s="5" t="n">
        <v>12</v>
      </c>
      <c r="F158" s="5" t="n">
        <v>64</v>
      </c>
      <c r="G158" s="5" t="inlineStr">
        <is>
          <t>300</t>
        </is>
      </c>
      <c r="H158" s="5" t="n">
        <v>32</v>
      </c>
      <c r="I158" s="6">
        <f>E158*F158*G158*0.00000785</f>
        <v/>
      </c>
      <c r="J158" s="6">
        <f>I158*H158</f>
        <v/>
      </c>
      <c r="K158" s="5" t="inlineStr">
        <is>
          <t>LY225</t>
        </is>
      </c>
    </row>
    <row r="159" ht="14.25" customHeight="1">
      <c r="A159" s="5" t="inlineStr">
        <is>
          <t>3</t>
        </is>
      </c>
      <c r="B159" s="5" t="n"/>
      <c r="C159" s="5" t="n"/>
      <c r="D159" s="5" t="inlineStr">
        <is>
          <t>挡板</t>
        </is>
      </c>
      <c r="E159" s="5" t="n">
        <v>6</v>
      </c>
      <c r="F159" s="5" t="n">
        <v>215</v>
      </c>
      <c r="G159" s="5">
        <f>f160</f>
        <v/>
      </c>
      <c r="H159" s="5" t="n">
        <v>16</v>
      </c>
      <c r="I159" s="6">
        <f>E159*F159*G159*0.00000785</f>
        <v/>
      </c>
      <c r="J159" s="6">
        <f>I159*H159</f>
        <v/>
      </c>
      <c r="K159" s="5" t="inlineStr">
        <is>
          <t>Q235B</t>
        </is>
      </c>
    </row>
    <row r="160" ht="14.25" customHeight="1">
      <c r="A160" s="5" t="inlineStr">
        <is>
          <t>4</t>
        </is>
      </c>
      <c r="B160" s="5" t="n"/>
      <c r="C160" s="5" t="n"/>
      <c r="D160" s="5" t="inlineStr">
        <is>
          <t>方管</t>
        </is>
      </c>
      <c r="E160" s="5" t="n">
        <v>4</v>
      </c>
      <c r="F160" s="5" t="n">
        <v>800</v>
      </c>
      <c r="G160" s="5">
        <f>C157-300</f>
        <v/>
      </c>
      <c r="H160" s="5" t="n">
        <v>8</v>
      </c>
      <c r="I160" s="6">
        <f>E160*F160*G160*0.00000785</f>
        <v/>
      </c>
      <c r="J160" s="6">
        <f>I160*H160</f>
        <v/>
      </c>
      <c r="K160" s="5" t="n"/>
    </row>
    <row r="161" ht="14.25" customHeight="1">
      <c r="A161" s="5" t="inlineStr">
        <is>
          <t>钢材合计：</t>
        </is>
      </c>
      <c r="B161" s="7" t="n"/>
      <c r="C161" s="7" t="n"/>
      <c r="D161" s="7" t="n"/>
      <c r="E161" s="7" t="n"/>
      <c r="F161" s="7" t="n"/>
      <c r="G161" s="7" t="n"/>
      <c r="H161" s="5" t="n"/>
      <c r="I161" s="6">
        <f>J161/8</f>
        <v/>
      </c>
      <c r="J161" s="6">
        <f>SUM(J157:J160)</f>
        <v/>
      </c>
      <c r="K161" s="5" t="inlineStr">
        <is>
          <t>十字</t>
        </is>
      </c>
    </row>
    <row r="162" ht="14.25" customHeight="1">
      <c r="A162" s="5" t="inlineStr">
        <is>
          <t>5</t>
        </is>
      </c>
      <c r="B162" s="5" t="inlineStr">
        <is>
          <t>灌浆</t>
        </is>
      </c>
      <c r="C162" s="5" t="n"/>
      <c r="D162" s="5" t="n"/>
      <c r="E162" s="5" t="n">
        <v>200</v>
      </c>
      <c r="F162" s="5" t="n">
        <v>200</v>
      </c>
      <c r="G162" s="5">
        <f>C157-300</f>
        <v/>
      </c>
      <c r="H162" s="5" t="n">
        <v>8</v>
      </c>
      <c r="I162" s="6">
        <f>E162*F162*G162*0.00000210</f>
        <v/>
      </c>
      <c r="J162" s="6">
        <f>I162*H162</f>
        <v/>
      </c>
      <c r="K162" s="7" t="n"/>
    </row>
    <row r="163" ht="14.25" customHeight="1">
      <c r="A163" s="5" t="inlineStr">
        <is>
          <t>6</t>
        </is>
      </c>
      <c r="B163" s="5" t="inlineStr">
        <is>
          <t>合计</t>
        </is>
      </c>
      <c r="C163" s="5" t="n"/>
      <c r="D163" s="5" t="n"/>
      <c r="E163" s="5" t="n"/>
      <c r="F163" s="5" t="n"/>
      <c r="G163" s="5" t="n"/>
      <c r="H163" s="5" t="n"/>
      <c r="I163" s="5" t="n"/>
      <c r="J163" s="6">
        <f>SUM(J161:J162)</f>
        <v/>
      </c>
      <c r="K163" s="7" t="n"/>
    </row>
    <row r="164" ht="14.25" customHeight="1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</row>
    <row r="165" ht="15" customHeight="1">
      <c r="A165" s="5" t="inlineStr">
        <is>
          <t>序号</t>
        </is>
      </c>
      <c r="B165" s="5" t="inlineStr">
        <is>
          <t>型号</t>
        </is>
      </c>
      <c r="C165" s="5" t="n"/>
      <c r="D165" s="5" t="inlineStr">
        <is>
          <t>名称</t>
        </is>
      </c>
      <c r="E165" s="5" t="inlineStr">
        <is>
          <t>规格</t>
        </is>
      </c>
      <c r="F165" s="5" t="n"/>
      <c r="G165" s="5" t="n"/>
      <c r="H165" s="5" t="inlineStr">
        <is>
          <t>数量</t>
        </is>
      </c>
      <c r="I165" s="5" t="inlineStr">
        <is>
          <t>单重(Kg)</t>
        </is>
      </c>
      <c r="J165" s="5" t="inlineStr">
        <is>
          <t>总重(Kg)</t>
        </is>
      </c>
      <c r="K165" s="5" t="inlineStr">
        <is>
          <t>备注</t>
        </is>
      </c>
    </row>
    <row r="166" ht="28.5" customHeight="1">
      <c r="A166" s="5" t="n"/>
      <c r="B166" s="5" t="inlineStr">
        <is>
          <t>屈服荷载(KN)</t>
        </is>
      </c>
      <c r="C166" s="5" t="inlineStr">
        <is>
          <t>长度(mm)</t>
        </is>
      </c>
      <c r="D166" s="5" t="n"/>
      <c r="E166" s="5" t="inlineStr">
        <is>
          <t>厚</t>
        </is>
      </c>
      <c r="F166" s="5" t="inlineStr">
        <is>
          <t>宽</t>
        </is>
      </c>
      <c r="G166" s="5" t="inlineStr">
        <is>
          <t>长</t>
        </is>
      </c>
      <c r="H166" s="5" t="n"/>
      <c r="I166" s="5" t="n"/>
      <c r="J166" s="5" t="n"/>
      <c r="K166" s="5" t="n"/>
    </row>
    <row r="167" ht="14.25" customHeight="1">
      <c r="A167" s="5" t="inlineStr">
        <is>
          <t>1</t>
        </is>
      </c>
      <c r="B167" s="5" t="n">
        <v>400</v>
      </c>
      <c r="C167" s="5" t="n">
        <v>2900</v>
      </c>
      <c r="D167" s="5" t="inlineStr">
        <is>
          <t>芯板</t>
        </is>
      </c>
      <c r="E167" s="5" t="n">
        <v>12</v>
      </c>
      <c r="F167" s="5" t="n">
        <v>140</v>
      </c>
      <c r="G167" s="5">
        <f>C167</f>
        <v/>
      </c>
      <c r="H167" s="5" t="n">
        <v>5</v>
      </c>
      <c r="I167" s="6">
        <f>E167*F167*G167*0.00000785</f>
        <v/>
      </c>
      <c r="J167" s="6">
        <f>I167*H167</f>
        <v/>
      </c>
      <c r="K167" s="5" t="inlineStr">
        <is>
          <t>LY225</t>
        </is>
      </c>
    </row>
    <row r="168" ht="14.25" customHeight="1">
      <c r="A168" s="5" t="inlineStr">
        <is>
          <t>2</t>
        </is>
      </c>
      <c r="B168" s="5" t="n"/>
      <c r="C168" s="5" t="n"/>
      <c r="D168" s="5" t="inlineStr">
        <is>
          <t>翼缘板</t>
        </is>
      </c>
      <c r="E168" s="5" t="n">
        <v>12</v>
      </c>
      <c r="F168" s="5" t="n">
        <v>64</v>
      </c>
      <c r="G168" s="5" t="inlineStr">
        <is>
          <t>300</t>
        </is>
      </c>
      <c r="H168" s="5" t="n">
        <v>20</v>
      </c>
      <c r="I168" s="6">
        <f>E168*F168*G168*0.00000785</f>
        <v/>
      </c>
      <c r="J168" s="6">
        <f>I168*H168</f>
        <v/>
      </c>
      <c r="K168" s="5" t="inlineStr">
        <is>
          <t>LY225</t>
        </is>
      </c>
    </row>
    <row r="169" ht="14.25" customHeight="1">
      <c r="A169" s="5" t="inlineStr">
        <is>
          <t>3</t>
        </is>
      </c>
      <c r="B169" s="5" t="n"/>
      <c r="C169" s="5" t="n"/>
      <c r="D169" s="5" t="inlineStr">
        <is>
          <t>挡板</t>
        </is>
      </c>
      <c r="E169" s="5" t="n">
        <v>6</v>
      </c>
      <c r="F169" s="5" t="n">
        <v>215</v>
      </c>
      <c r="G169" s="5">
        <f>f170</f>
        <v/>
      </c>
      <c r="H169" s="5" t="n">
        <v>10</v>
      </c>
      <c r="I169" s="6">
        <f>E169*F169*G169*0.00000785</f>
        <v/>
      </c>
      <c r="J169" s="6">
        <f>I169*H169</f>
        <v/>
      </c>
      <c r="K169" s="5" t="inlineStr">
        <is>
          <t>Q235B</t>
        </is>
      </c>
    </row>
    <row r="170" ht="14.25" customHeight="1">
      <c r="A170" s="5" t="inlineStr">
        <is>
          <t>4</t>
        </is>
      </c>
      <c r="B170" s="5" t="n"/>
      <c r="C170" s="5" t="n"/>
      <c r="D170" s="5" t="inlineStr">
        <is>
          <t>方管</t>
        </is>
      </c>
      <c r="E170" s="5" t="n">
        <v>4</v>
      </c>
      <c r="F170" s="5" t="n">
        <v>800</v>
      </c>
      <c r="G170" s="5">
        <f>C167-300</f>
        <v/>
      </c>
      <c r="H170" s="5" t="n">
        <v>5</v>
      </c>
      <c r="I170" s="6">
        <f>E170*F170*G170*0.00000785</f>
        <v/>
      </c>
      <c r="J170" s="6">
        <f>I170*H170</f>
        <v/>
      </c>
      <c r="K170" s="5" t="n"/>
    </row>
    <row r="171" ht="14.25" customHeight="1">
      <c r="A171" s="5" t="inlineStr">
        <is>
          <t>钢材合计：</t>
        </is>
      </c>
      <c r="B171" s="7" t="n"/>
      <c r="C171" s="7" t="n"/>
      <c r="D171" s="7" t="n"/>
      <c r="E171" s="7" t="n"/>
      <c r="F171" s="7" t="n"/>
      <c r="G171" s="7" t="n"/>
      <c r="H171" s="5" t="n"/>
      <c r="I171" s="6">
        <f>J171/5</f>
        <v/>
      </c>
      <c r="J171" s="6">
        <f>SUM(J167:J170)</f>
        <v/>
      </c>
      <c r="K171" s="5" t="inlineStr">
        <is>
          <t>十字</t>
        </is>
      </c>
    </row>
    <row r="172" ht="14.25" customHeight="1">
      <c r="A172" s="5" t="inlineStr">
        <is>
          <t>5</t>
        </is>
      </c>
      <c r="B172" s="5" t="inlineStr">
        <is>
          <t>灌浆</t>
        </is>
      </c>
      <c r="C172" s="5" t="n"/>
      <c r="D172" s="5" t="n"/>
      <c r="E172" s="5" t="n">
        <v>200</v>
      </c>
      <c r="F172" s="5" t="n">
        <v>200</v>
      </c>
      <c r="G172" s="5">
        <f>C167-300</f>
        <v/>
      </c>
      <c r="H172" s="5" t="n">
        <v>5</v>
      </c>
      <c r="I172" s="6">
        <f>E172*F172*G172*0.00000210</f>
        <v/>
      </c>
      <c r="J172" s="6">
        <f>I172*H172</f>
        <v/>
      </c>
      <c r="K172" s="7" t="n"/>
    </row>
    <row r="173" ht="14.25" customHeight="1">
      <c r="A173" s="5" t="inlineStr">
        <is>
          <t>6</t>
        </is>
      </c>
      <c r="B173" s="5" t="inlineStr">
        <is>
          <t>合计</t>
        </is>
      </c>
      <c r="C173" s="5" t="n"/>
      <c r="D173" s="5" t="n"/>
      <c r="E173" s="5" t="n"/>
      <c r="F173" s="5" t="n"/>
      <c r="G173" s="5" t="n"/>
      <c r="H173" s="5" t="n"/>
      <c r="I173" s="5" t="n"/>
      <c r="J173" s="6">
        <f>SUM(J171:J172)</f>
        <v/>
      </c>
      <c r="K173" s="7" t="n"/>
    </row>
    <row r="174" ht="14.25" customHeight="1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</row>
    <row r="176" ht="25" customHeight="1">
      <c r="A176" s="9" t="inlineStr">
        <is>
          <t>北京第二实验中学BRB材料汇总</t>
        </is>
      </c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5" t="inlineStr">
        <is>
          <t>序号</t>
        </is>
      </c>
      <c r="B177" s="5" t="inlineStr">
        <is>
          <t>材料型号</t>
        </is>
      </c>
      <c r="C177" s="5" t="n"/>
      <c r="D177" s="5" t="inlineStr">
        <is>
          <t>总重(kg)</t>
        </is>
      </c>
      <c r="E177" s="5" t="n"/>
      <c r="F177" s="5" t="inlineStr">
        <is>
          <t>备注</t>
        </is>
      </c>
      <c r="G177" s="5" t="n"/>
      <c r="H177" s="5" t="n"/>
      <c r="I177" s="5" t="n"/>
    </row>
    <row r="178">
      <c r="A178" s="5" t="n">
        <v>1</v>
      </c>
      <c r="B178" s="10" t="n">
        <v>12</v>
      </c>
      <c r="C178" s="5" t="n"/>
      <c r="D178" s="6">
        <f>SUMIFS($J:$J,$E:$E,B178,$K:$K,F178)</f>
        <v/>
      </c>
      <c r="E178" s="5" t="n"/>
      <c r="F178" s="5" t="inlineStr">
        <is>
          <t>LY225</t>
        </is>
      </c>
      <c r="G178" s="5" t="n"/>
      <c r="H178" s="5" t="n"/>
      <c r="I178" s="5" t="n"/>
    </row>
    <row r="179">
      <c r="A179" s="5" t="n">
        <v>2</v>
      </c>
      <c r="B179" s="10" t="n">
        <v>20</v>
      </c>
      <c r="C179" s="5" t="n"/>
      <c r="D179" s="6">
        <f>SUMIFS($J:$J,$E:$E,B179,$K:$K,F179)</f>
        <v/>
      </c>
      <c r="E179" s="5" t="n"/>
      <c r="F179" s="5" t="inlineStr">
        <is>
          <t>LY225</t>
        </is>
      </c>
      <c r="G179" s="5" t="n"/>
      <c r="H179" s="5" t="n"/>
      <c r="I179" s="5" t="n"/>
    </row>
    <row r="180">
      <c r="A180" s="5" t="n">
        <v>3</v>
      </c>
      <c r="B180" s="10" t="n">
        <v>6</v>
      </c>
      <c r="C180" s="5" t="n"/>
      <c r="D180" s="6">
        <f>SUMIFS($J:$J,$E:$E,B180,$K:$K,F180)</f>
        <v/>
      </c>
      <c r="E180" s="5" t="n"/>
      <c r="F180" s="5" t="inlineStr">
        <is>
          <t>Q235B</t>
        </is>
      </c>
      <c r="G180" s="5" t="n"/>
      <c r="H180" s="5" t="n"/>
      <c r="I180" s="5" t="n"/>
    </row>
    <row r="181">
      <c r="A181" s="5" t="n">
        <v>4</v>
      </c>
      <c r="B181" s="11" t="n">
        <v>200</v>
      </c>
      <c r="C181" s="12" t="n">
        <v>4</v>
      </c>
      <c r="D181" s="6">
        <f>SUMIFS($J:$J,$E:$E,C181,$F:$F,B181*4,$D:$D,"方管")</f>
        <v/>
      </c>
      <c r="E181" s="5" t="n"/>
      <c r="F181" s="13">
        <f>D181/(B181*4*C181)/0.00000785</f>
        <v/>
      </c>
      <c r="G181" s="5" t="n"/>
      <c r="H181" s="14">
        <f>IF(ROUNDUP(F181/12000,0)&lt;3,            ROUNDUP(F181/12000,0),            IF((ROUNDUP(F181/12000,0)*12000-F181)&lt;300,(ROUNDUP(F181/12000,0)+1),ROUNDUP(F181/12000,0)))</f>
        <v/>
      </c>
      <c r="I181" s="5" t="n"/>
    </row>
    <row r="182">
      <c r="A182" s="5" t="n">
        <v>5</v>
      </c>
      <c r="B182" s="11" t="n">
        <v>250</v>
      </c>
      <c r="C182" s="12" t="n">
        <v>4</v>
      </c>
      <c r="D182" s="6">
        <f>SUMIFS($J:$J,$E:$E,C182,$F:$F,B182*4,$D:$D,"方管")</f>
        <v/>
      </c>
      <c r="E182" s="5" t="n"/>
      <c r="F182" s="13">
        <f>D182/(B182*4*C182)/0.00000785</f>
        <v/>
      </c>
      <c r="G182" s="5" t="n"/>
      <c r="H182" s="14">
        <f>IF(ROUNDUP(F182/12000,0)&lt;3,            ROUNDUP(F182/12000,0),            IF((ROUNDUP(F182/12000,0)*12000-F182)&lt;300,(ROUNDUP(F182/12000,0)+1),ROUNDUP(F182/12000,0)))</f>
        <v/>
      </c>
      <c r="I182" s="5" t="n"/>
    </row>
    <row r="183">
      <c r="A183" s="5" t="inlineStr">
        <is>
          <t>钢材合计</t>
        </is>
      </c>
      <c r="B183" s="5" t="n"/>
      <c r="C183" s="5" t="n"/>
      <c r="D183" s="6">
        <f>SUM(D178:D182)</f>
        <v/>
      </c>
      <c r="E183" s="5" t="n"/>
      <c r="F183" s="5" t="n"/>
      <c r="G183" s="5" t="n"/>
      <c r="H183" s="5" t="n"/>
      <c r="I183" s="5" t="n"/>
    </row>
    <row r="184">
      <c r="A184" s="5" t="n">
        <v>6</v>
      </c>
      <c r="B184" s="5" t="inlineStr">
        <is>
          <t>灌浆</t>
        </is>
      </c>
      <c r="C184" s="5" t="n"/>
      <c r="D184" s="6">
        <f>SUMIF($B:$B,B184,$J:$J)</f>
        <v/>
      </c>
      <c r="E184" s="5" t="n"/>
      <c r="F184" s="5" t="n"/>
      <c r="G184" s="5" t="n"/>
      <c r="H184" s="5" t="n"/>
      <c r="I184" s="5" t="n"/>
    </row>
    <row r="185">
      <c r="A185" s="5" t="inlineStr">
        <is>
          <t>合计</t>
        </is>
      </c>
      <c r="B185" s="5" t="n"/>
      <c r="C185" s="5" t="n"/>
      <c r="D185" s="6">
        <f>SUM(D183:D184)</f>
        <v/>
      </c>
      <c r="E185" s="5" t="n"/>
      <c r="F185" s="15">
        <f>SUMIF($D:$D,"芯板",$H:$H)</f>
        <v/>
      </c>
      <c r="G185" s="5" t="n"/>
      <c r="H185" s="5" t="n"/>
      <c r="I185" s="5" t="n"/>
    </row>
  </sheetData>
  <mergeCells count="190">
    <mergeCell ref="B91:C91"/>
    <mergeCell ref="I145:I146"/>
    <mergeCell ref="D178:E178"/>
    <mergeCell ref="J165:J166"/>
    <mergeCell ref="B165:C165"/>
    <mergeCell ref="J69:J70"/>
    <mergeCell ref="H181:I181"/>
    <mergeCell ref="A109:G109"/>
    <mergeCell ref="B155:C155"/>
    <mergeCell ref="H102:H103"/>
    <mergeCell ref="K120:K122"/>
    <mergeCell ref="J102:J103"/>
    <mergeCell ref="K98:K100"/>
    <mergeCell ref="B102:C102"/>
    <mergeCell ref="D36:D37"/>
    <mergeCell ref="F179:I179"/>
    <mergeCell ref="I3:I4"/>
    <mergeCell ref="H36:H37"/>
    <mergeCell ref="D47:D48"/>
    <mergeCell ref="B14:C14"/>
    <mergeCell ref="J36:J37"/>
    <mergeCell ref="A91:A92"/>
    <mergeCell ref="A113:A114"/>
    <mergeCell ref="E124:G124"/>
    <mergeCell ref="I58:I59"/>
    <mergeCell ref="F183:I183"/>
    <mergeCell ref="K58:K59"/>
    <mergeCell ref="B69:C69"/>
    <mergeCell ref="H47:H48"/>
    <mergeCell ref="B178:C178"/>
    <mergeCell ref="J47:J48"/>
    <mergeCell ref="H145:H146"/>
    <mergeCell ref="A87:G87"/>
    <mergeCell ref="A2:K2"/>
    <mergeCell ref="J145:J146"/>
    <mergeCell ref="E58:G58"/>
    <mergeCell ref="K76:K78"/>
    <mergeCell ref="B177:C177"/>
    <mergeCell ref="E165:G165"/>
    <mergeCell ref="D177:E177"/>
    <mergeCell ref="A21:G21"/>
    <mergeCell ref="H91:H92"/>
    <mergeCell ref="K109:K111"/>
    <mergeCell ref="A102:A103"/>
    <mergeCell ref="E135:G135"/>
    <mergeCell ref="F185:I185"/>
    <mergeCell ref="K80:K81"/>
    <mergeCell ref="J155:J156"/>
    <mergeCell ref="A183:C183"/>
    <mergeCell ref="D155:D156"/>
    <mergeCell ref="F184:I184"/>
    <mergeCell ref="B25:C25"/>
    <mergeCell ref="B3:C3"/>
    <mergeCell ref="E69:G69"/>
    <mergeCell ref="A131:G131"/>
    <mergeCell ref="A171:G171"/>
    <mergeCell ref="B180:C180"/>
    <mergeCell ref="A10:G10"/>
    <mergeCell ref="K10:K12"/>
    <mergeCell ref="E80:G80"/>
    <mergeCell ref="D135:D136"/>
    <mergeCell ref="A145:A146"/>
    <mergeCell ref="H69:H70"/>
    <mergeCell ref="K87:K89"/>
    <mergeCell ref="J113:J114"/>
    <mergeCell ref="K65:K67"/>
    <mergeCell ref="J91:J92"/>
    <mergeCell ref="D3:D4"/>
    <mergeCell ref="B179:C179"/>
    <mergeCell ref="D179:E179"/>
    <mergeCell ref="H182:I182"/>
    <mergeCell ref="H80:H81"/>
    <mergeCell ref="D181:E181"/>
    <mergeCell ref="J25:J26"/>
    <mergeCell ref="K21:K23"/>
    <mergeCell ref="E47:G47"/>
    <mergeCell ref="D25:D26"/>
    <mergeCell ref="D102:D103"/>
    <mergeCell ref="E145:G145"/>
    <mergeCell ref="A65:G65"/>
    <mergeCell ref="D180:E180"/>
    <mergeCell ref="H14:H15"/>
    <mergeCell ref="J14:J15"/>
    <mergeCell ref="K3:K4"/>
    <mergeCell ref="A120:G120"/>
    <mergeCell ref="B80:C80"/>
    <mergeCell ref="K43:K45"/>
    <mergeCell ref="I124:I125"/>
    <mergeCell ref="K124:K125"/>
    <mergeCell ref="K131:K133"/>
    <mergeCell ref="A32:G32"/>
    <mergeCell ref="B185:C185"/>
    <mergeCell ref="D145:D146"/>
    <mergeCell ref="I135:I136"/>
    <mergeCell ref="I36:I37"/>
    <mergeCell ref="K135:K136"/>
    <mergeCell ref="D80:D81"/>
    <mergeCell ref="A36:A37"/>
    <mergeCell ref="K151:K153"/>
    <mergeCell ref="A161:G161"/>
    <mergeCell ref="A43:G43"/>
    <mergeCell ref="B184:C184"/>
    <mergeCell ref="A1:K1"/>
    <mergeCell ref="H58:H59"/>
    <mergeCell ref="K141:K143"/>
    <mergeCell ref="B58:C58"/>
    <mergeCell ref="A80:A81"/>
    <mergeCell ref="E36:G36"/>
    <mergeCell ref="I47:I48"/>
    <mergeCell ref="K47:K48"/>
    <mergeCell ref="E113:G113"/>
    <mergeCell ref="I102:I103"/>
    <mergeCell ref="K102:K103"/>
    <mergeCell ref="F181:G181"/>
    <mergeCell ref="A14:A15"/>
    <mergeCell ref="H124:H125"/>
    <mergeCell ref="K145:K146"/>
    <mergeCell ref="H155:H156"/>
    <mergeCell ref="J124:J125"/>
    <mergeCell ref="K54:K56"/>
    <mergeCell ref="D165:D166"/>
    <mergeCell ref="E102:G102"/>
    <mergeCell ref="H3:H4"/>
    <mergeCell ref="J3:J4"/>
    <mergeCell ref="D14:D15"/>
    <mergeCell ref="K32:K34"/>
    <mergeCell ref="J58:J59"/>
    <mergeCell ref="A155:A156"/>
    <mergeCell ref="E14:G14"/>
    <mergeCell ref="B124:C124"/>
    <mergeCell ref="H113:H114"/>
    <mergeCell ref="H165:H166"/>
    <mergeCell ref="A58:A59"/>
    <mergeCell ref="I80:I81"/>
    <mergeCell ref="A151:G151"/>
    <mergeCell ref="K161:K163"/>
    <mergeCell ref="F180:I180"/>
    <mergeCell ref="B135:C135"/>
    <mergeCell ref="D182:E182"/>
    <mergeCell ref="A141:G141"/>
    <mergeCell ref="K36:K37"/>
    <mergeCell ref="B47:C47"/>
    <mergeCell ref="F182:G182"/>
    <mergeCell ref="E155:G155"/>
    <mergeCell ref="I113:I114"/>
    <mergeCell ref="I91:I92"/>
    <mergeCell ref="A69:A70"/>
    <mergeCell ref="K113:K114"/>
    <mergeCell ref="K91:K92"/>
    <mergeCell ref="A124:A125"/>
    <mergeCell ref="D183:E183"/>
    <mergeCell ref="K155:K156"/>
    <mergeCell ref="I25:I26"/>
    <mergeCell ref="K171:K173"/>
    <mergeCell ref="A25:A26"/>
    <mergeCell ref="A3:A4"/>
    <mergeCell ref="I165:I166"/>
    <mergeCell ref="D91:D92"/>
    <mergeCell ref="B145:C145"/>
    <mergeCell ref="K165:K166"/>
    <mergeCell ref="J80:J81"/>
    <mergeCell ref="A135:A136"/>
    <mergeCell ref="D185:E185"/>
    <mergeCell ref="A98:G98"/>
    <mergeCell ref="I155:I156"/>
    <mergeCell ref="F178:I178"/>
    <mergeCell ref="E91:G91"/>
    <mergeCell ref="E25:G25"/>
    <mergeCell ref="I14:I15"/>
    <mergeCell ref="K14:K15"/>
    <mergeCell ref="I69:I70"/>
    <mergeCell ref="A47:A48"/>
    <mergeCell ref="A165:A166"/>
    <mergeCell ref="K69:K70"/>
    <mergeCell ref="A54:G54"/>
    <mergeCell ref="F177:I177"/>
    <mergeCell ref="A176:I176"/>
    <mergeCell ref="E3:G3"/>
    <mergeCell ref="D184:E184"/>
    <mergeCell ref="D58:D59"/>
    <mergeCell ref="D113:D114"/>
    <mergeCell ref="H135:H136"/>
    <mergeCell ref="K25:K26"/>
    <mergeCell ref="J135:J136"/>
    <mergeCell ref="D69:D70"/>
    <mergeCell ref="B36:C36"/>
    <mergeCell ref="A76:G76"/>
    <mergeCell ref="H25:H26"/>
    <mergeCell ref="B113:C113"/>
    <mergeCell ref="D124:D1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2026-05-06T08:01:19Z</dcterms:created>
  <dcterms:modified xsi:type="dcterms:W3CDTF">2026-05-06T08:01:19Z</dcterms:modified>
</cp:coreProperties>
</file>